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0BDC4D65-58E3-46B0-93B5-6184591634BC}" xr6:coauthVersionLast="47" xr6:coauthVersionMax="47" xr10:uidLastSave="{00000000-0000-0000-0000-000000000000}"/>
  <bookViews>
    <workbookView xWindow="21240" yWindow="0" windowWidth="28860" windowHeight="20985" tabRatio="809" firstSheet="1" activeTab="12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5" i="5" l="1"/>
  <c r="E85" i="5"/>
  <c r="C85" i="5"/>
  <c r="L7" i="5"/>
  <c r="L4" i="5"/>
  <c r="D29" i="19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19" i="5" a="1"/>
  <c r="D23" i="5" a="1"/>
  <c r="C21" i="5" a="1"/>
  <c r="D20" i="5" a="1"/>
  <c r="C24" i="5" a="1"/>
  <c r="D18" i="5" a="1"/>
  <c r="C6" i="5" a="1"/>
  <c r="C22" i="5" a="1"/>
  <c r="C27" i="5" a="1"/>
  <c r="D25" i="5" a="1"/>
  <c r="C20" i="5" a="1"/>
  <c r="C19" i="5" a="1"/>
  <c r="D21" i="5" a="1"/>
  <c r="C18" i="5" a="1"/>
  <c r="C25" i="5" a="1"/>
  <c r="D22" i="5" a="1"/>
  <c r="D27" i="5" a="1"/>
  <c r="D24" i="5" a="1"/>
  <c r="D26" i="5" a="1"/>
  <c r="C26" i="5" a="1"/>
  <c r="C23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5" i="5" a="1"/>
  <c r="C8" i="5" a="1"/>
  <c r="H9" i="5" a="1"/>
  <c r="C5" i="5" l="1"/>
  <c r="B85" i="5" s="1"/>
  <c r="C8" i="5"/>
  <c r="H9" i="5"/>
  <c r="I6" i="5"/>
  <c r="F9" i="14"/>
  <c r="F24" i="5" a="1"/>
  <c r="F27" i="5" a="1"/>
  <c r="F20" i="5" a="1"/>
  <c r="F21" i="5" a="1"/>
  <c r="F23" i="5" a="1"/>
  <c r="F25" i="5" a="1"/>
  <c r="F22" i="5" a="1"/>
  <c r="F19" i="5" a="1"/>
  <c r="F26" i="5" a="1"/>
  <c r="L3" i="5" l="1"/>
  <c r="F21" i="5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G11" i="5" a="1"/>
  <c r="G5" i="5" a="1"/>
  <c r="C10" i="5" a="1"/>
  <c r="H19" i="5" a="1"/>
  <c r="G12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H21" i="5" a="1"/>
  <c r="H24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L5" i="5" l="1"/>
  <c r="D85" i="5"/>
  <c r="K5" i="5"/>
  <c r="I11" i="5"/>
  <c r="I7" i="5"/>
  <c r="J9" i="5" s="1"/>
  <c r="F85" i="5" l="1"/>
  <c r="J85" i="5" s="1"/>
  <c r="H85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H8" i="5" a="1"/>
  <c r="H8" i="5" l="1"/>
  <c r="I8" i="5" s="1"/>
  <c r="I9" i="5" s="1"/>
  <c r="F11" i="8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J10" i="5" l="1"/>
  <c r="J11" i="5"/>
  <c r="E17" i="8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H18" i="5" a="1"/>
  <c r="C12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<sst xmlns="http://schemas.openxmlformats.org/spreadsheetml/2006/main" count="651" uniqueCount="208">
  <si>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</si>
  <si>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</si>
  <si>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</si>
  <si>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</si>
  <si>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</si>
  <si>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</si>
  <si>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</si>
  <si>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</si>
  <si>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</si>
  <si>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</si>
  <si>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</si>
  <si>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</si>
  <si>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</si>
  <si>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</si>
  <si>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</si>
  <si>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</si>
  <si>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</si>
  <si>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</si>
  <si>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</si>
  <si>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</si>
  <si>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</si>
  <si>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</si>
  <si>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</si>
  <si>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</si>
  <si>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</si>
  <si>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</si>
  <si>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</si>
  <si>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</si>
  <si>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</si>
  <si>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</si>
  <si>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</si>
  <si>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</si>
  <si>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</si>
  <si>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</si>
  <si>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</si>
  <si>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</si>
  <si>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</si>
  <si>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</si>
  <si>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</si>
  <si>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</si>
  <si>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</si>
  <si>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</si>
  <si>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</si>
  <si>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</si>
  <si>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</si>
  <si>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</si>
  <si>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</si>
  <si>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</si>
  <si>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</si>
  <si>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</si>
  <si>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</si>
  <si>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</si>
  <si>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</si>
  <si>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</si>
  <si>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</si>
  <si>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</si>
  <si>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</si>
  <si>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</si>
  <si>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</si>
  <si>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</si>
  <si>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</si>
  <si>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</si>
  <si>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</si>
  <si>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</si>
  <si>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</si>
  <si>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</si>
  <si>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</si>
  <si>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</si>
  <si>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</si>
  <si>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</si>
  <si>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</si>
  <si>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</si>
  <si>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</si>
  <si>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</si>
  <si>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</si>
  <si>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</si>
  <si>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</si>
  <si>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</si>
  <si>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</si>
  <si>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</si>
  <si>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</si>
  <si>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</si>
  <si>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</si>
  <si>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</si>
  <si>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</si>
  <si>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</si>
  <si>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</si>
  <si>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</si>
  <si>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</si>
  <si>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</si>
  <si>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</si>
  <si>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</si>
  <si>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</si>
  <si>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</si>
  <si>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</si>
  <si>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</si>
  <si>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</si>
  <si>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</si>
  <si>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</si>
  <si>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</si>
  <si>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</si>
  <si>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</si>
  <si>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</si>
  <si>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</si>
  <si>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</si>
  <si>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</si>
  <si>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</si>
  <si>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</si>
  <si>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</si>
  <si>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</si>
  <si>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</si>
  <si>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</si>
  <si>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</si>
  <si>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</si>
  <si>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</si>
  <si>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</si>
  <si>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</si>
  <si>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</si>
  <si>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</si>
  <si>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</si>
  <si>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</si>
  <si>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</si>
  <si>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</si>
  <si>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</si>
  <si>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</si>
  <si>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</si>
  <si>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</si>
  <si>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</si>
  <si>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</si>
  <si>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</si>
  <si>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</si>
  <si>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</si>
  <si>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</si>
  <si>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</si>
  <si>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</si>
  <si>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</si>
  <si>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</si>
  <si>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</si>
  <si>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</si>
  <si>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</si>
  <si>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</si>
  <si>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</si>
  <si>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</si>
  <si>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</si>
  <si>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</si>
  <si>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</si>
  <si>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</si>
  <si>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</si>
  <si>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</si>
  <si>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</si>
  <si>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</si>
  <si>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</si>
  <si>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</si>
  <si>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</si>
  <si>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</si>
  <si>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</si>
  <si>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</si>
  <si>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</si>
  <si>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</si>
  <si>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</si>
  <si>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</si>
  <si>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</si>
  <si>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</si>
  <si>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</si>
  <si>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</si>
  <si>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</si>
  <si>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</si>
  <si>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</si>
  <si>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</si>
  <si>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</si>
  <si>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</si>
  <si>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</si>
  <si>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</si>
  <si>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</si>
  <si>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</si>
  <si>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</si>
  <si>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</si>
  <si>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</si>
  <si>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</si>
  <si>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</si>
  <si>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</si>
  <si>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</si>
  <si>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</si>
  <si>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</si>
  <si>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</si>
  <si>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</si>
  <si>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</si>
  <si>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</si>
  <si>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</si>
  <si>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</si>
  <si>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</si>
  <si>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</si>
  <si>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</si>
  <si>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</si>
  <si>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</si>
  <si>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</si>
  <si>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</si>
  <si>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(12.7 + d42.2) x0.6</t>
  </si>
  <si>
    <t>Hit Chance</t>
  </si>
  <si>
    <t>n1</t>
  </si>
  <si>
    <t>k1</t>
  </si>
  <si>
    <t>n2</t>
  </si>
  <si>
    <t>k2</t>
  </si>
  <si>
    <t>min1</t>
  </si>
  <si>
    <t>max2</t>
  </si>
  <si>
    <t>min3</t>
  </si>
  <si>
    <t>sum</t>
  </si>
  <si>
    <t>n*(n+1)/2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</si>
</sst>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0</xdr:row>
          <xdr:rowOff>180975</xdr:rowOff>
        </xdr:from>
        <xdr:to>
          <xdr:col>18</xdr:col>
          <xdr:colOff>666750</xdr:colOff>
          <xdr:row>1</xdr:row>
          <xdr:rowOff>180975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180975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4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4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4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4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4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180975</xdr:rowOff>
        </xdr:from>
        <xdr:to>
          <xdr:col>14</xdr:col>
          <xdr:colOff>352425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409575</xdr:colOff>
          <xdr:row>1</xdr:row>
          <xdr:rowOff>0</xdr:rowOff>
        </xdr:from>
        <xdr:to>
          <xdr:col>15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180975</xdr:rowOff>
        </xdr:from>
        <xdr:to>
          <xdr:col>25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66675</xdr:rowOff>
        </xdr:from>
        <xdr:to>
          <xdr:col>10</xdr:col>
          <xdr:colOff>695325</xdr:colOff>
          <xdr:row>8</xdr:row>
          <xdr:rowOff>123825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161925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171450</xdr:rowOff>
        </xdr:from>
        <xdr:to>
          <xdr:col>9</xdr:col>
          <xdr:colOff>714375</xdr:colOff>
          <xdr:row>15</xdr:row>
          <xdr:rowOff>9525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6" t="s">
        <v>35</v>
      </c>
      <c r="D2" s="26"/>
      <c r="E2" s="26"/>
      <c r="F2" s="26"/>
      <c r="G2" s="26" t="s">
        <v>8</v>
      </c>
      <c r="H2" s="26"/>
      <c r="I2" s="26"/>
      <c r="J2" s="26" t="s">
        <v>44</v>
      </c>
      <c r="K2" s="26"/>
      <c r="L2" s="26"/>
      <c r="M2" s="26"/>
      <c r="N2" s="26"/>
      <c r="O2" s="26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Y109"/>
  <sheetViews>
    <sheetView zoomScale="110" zoomScaleNormal="110" workbookViewId="0">
      <selection activeCell="I85" sqref="I8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10.85546875" customWidth="1"/>
    <col min="13" max="13" width="3.5703125" customWidth="1"/>
    <col min="14" max="14" width="9.140625" style="11"/>
    <col min="15" max="16" width="11.85546875" bestFit="1" customWidth="1"/>
    <col min="17" max="17" width="9.140625" style="8"/>
    <col min="18" max="18" width="11.85546875" style="14" bestFit="1" customWidth="1"/>
    <col min="19" max="19" width="12.5703125" style="14" customWidth="1"/>
    <col min="21" max="21" width="11.85546875" bestFit="1" customWidth="1"/>
    <col min="24" max="24" width="11.7109375" bestFit="1" customWidth="1"/>
    <col min="25" max="25" width="9.140625" style="8"/>
  </cols>
  <sheetData>
    <row r="1" spans="1:25" x14ac:dyDescent="0.25">
      <c r="N1"/>
      <c r="Q1"/>
      <c r="R1"/>
      <c r="S1"/>
      <c r="Y1"/>
    </row>
    <row r="2" spans="1:25" x14ac:dyDescent="0.25">
      <c r="N2"/>
      <c r="Q2"/>
      <c r="R2"/>
      <c r="S2"/>
      <c r="V2" s="9" t="s">
        <v>186</v>
      </c>
      <c r="W2" s="9"/>
      <c r="X2" s="9"/>
      <c r="Y2" s="9"/>
    </row>
    <row r="3" spans="1:25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5">
        <f ca="1">C5</f>
        <v>7.7272727272727275</v>
      </c>
      <c r="N3" s="1" t="s">
        <v>139</v>
      </c>
      <c r="O3" s="1" t="s">
        <v>128</v>
      </c>
      <c r="P3" s="1" t="s">
        <v>129</v>
      </c>
      <c r="Q3" s="1" t="s">
        <v>50</v>
      </c>
      <c r="R3" s="1" t="s">
        <v>140</v>
      </c>
      <c r="S3" s="1" t="s">
        <v>141</v>
      </c>
      <c r="U3" s="1" t="s">
        <v>47</v>
      </c>
      <c r="V3" s="1" t="s">
        <v>158</v>
      </c>
      <c r="W3" s="1" t="s">
        <v>168</v>
      </c>
      <c r="X3" s="1" t="s">
        <v>59</v>
      </c>
      <c r="Y3" s="1" t="s">
        <v>187</v>
      </c>
    </row>
    <row r="4" spans="1:25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 t="s">
        <v>198</v>
      </c>
      <c r="L4" s="5">
        <f>E5</f>
        <v>17.495614290237427</v>
      </c>
      <c r="N4" s="11">
        <v>1</v>
      </c>
      <c r="O4" t="s">
        <v>193</v>
      </c>
      <c r="P4" t="s">
        <v>149</v>
      </c>
    </row>
    <row r="5" spans="1:25" x14ac:dyDescent="0.25">
      <c r="A5" s="15" t="str">
        <f>LOOKUP(MAX(N:N),N:N,O:O)</f>
        <v>1 Mudrich</v>
      </c>
      <c r="B5" s="10" t="s">
        <v>8</v>
      </c>
      <c r="C5" s="5" cm="1">
        <f t="array" aca="1" ref="C5" ca="1">INDIRECT("'"&amp;LOOKUP($A5,$A$18:$A$27,$B$18:$B$27)&amp;"'!B6")-SUMIFS(Y:Y,U:U,$A5,X:X,"Accuracy")</f>
        <v>7.7272727272727275</v>
      </c>
      <c r="D5" s="6">
        <v>93.343527957947558</v>
      </c>
      <c r="E5" s="5">
        <v>17.495614290237427</v>
      </c>
      <c r="F5" s="19">
        <v>1</v>
      </c>
      <c r="G5" s="5" cm="1">
        <f t="array" aca="1" ref="G5" ca="1">F5*MAX(0,INDIRECT("'"&amp;LOOKUP($A5,$A$18:$A$27,$B$18:$B$27)&amp;"'!F23")-SUMIFS(Y:Y,U:U,$A5,X:X,"Willpower Factor"))</f>
        <v>1.1599999999999999</v>
      </c>
      <c r="H5" s="5">
        <v>1</v>
      </c>
      <c r="I5" s="12">
        <f ca="1">SUM(C5:E5,G5)*H5</f>
        <v>119.72641497545771</v>
      </c>
      <c r="J5" s="3"/>
      <c r="K5" s="2">
        <f ca="1">(C5+E5)-(C7+E7)/E5 + (C5+E5)-C7</f>
        <v>48.571610539718158</v>
      </c>
      <c r="L5" s="5">
        <f ca="1">C7</f>
        <v>0.4</v>
      </c>
    </row>
    <row r="6" spans="1:25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F6*MAX(0,INDIRECT("'"&amp;LOOKUP($A6,$A$18:$A$27,$B$18:$B$27)&amp;"'!F23")-SUMIFS(Y:Y,U:U,$A6,X:X,"Willpower Factor"))</f>
        <v>#N/A</v>
      </c>
      <c r="H6" s="5">
        <v>1</v>
      </c>
      <c r="I6" s="12" t="e">
        <f ca="1">SUM(C6:E6)*H6</f>
        <v>#N/A</v>
      </c>
      <c r="J6" s="3"/>
      <c r="K6" s="2"/>
      <c r="L6" s="2"/>
    </row>
    <row r="7" spans="1:25" x14ac:dyDescent="0.25">
      <c r="A7" s="15" t="str">
        <f>LOOKUP(MAX(N:N),N:N,P:P)</f>
        <v>2 Cat Soldier</v>
      </c>
      <c r="B7" s="10" t="s">
        <v>9</v>
      </c>
      <c r="C7" s="5" cm="1">
        <f t="array" aca="1" ref="C7" ca="1">INDIRECT("'"&amp;LOOKUP($A7,$A$18:$A$27,$B$18:$B$27)&amp;"'!F14")-SUMIFS(Y:Y,U:U,$A7,X:X,B7)</f>
        <v>0.4</v>
      </c>
      <c r="D7" s="6"/>
      <c r="E7" s="5">
        <v>25.391395914554597</v>
      </c>
      <c r="F7" s="19"/>
      <c r="G7" s="5" cm="1">
        <f t="array" aca="1" ref="G7" ca="1">F7*MAX(0,INDIRECT("'"&amp;LOOKUP($A7,$A$18:$A$27,$B$18:$B$27)&amp;"'!F23")-SUMIFS(Y:Y,U:U,$A7,X:X,"Willpower Factor"))</f>
        <v>0</v>
      </c>
      <c r="H7" s="5">
        <v>1</v>
      </c>
      <c r="I7" s="12">
        <f ca="1">SUM(C7:E7,G7)*H7</f>
        <v>25.791395914554595</v>
      </c>
      <c r="J7" s="3"/>
      <c r="K7" s="2"/>
      <c r="L7" s="5">
        <f>E7</f>
        <v>25.391395914554597</v>
      </c>
    </row>
    <row r="8" spans="1:25" x14ac:dyDescent="0.25">
      <c r="A8" s="2" t="str">
        <f>A5</f>
        <v>1 Mudrich</v>
      </c>
      <c r="B8" s="10" t="s">
        <v>50</v>
      </c>
      <c r="C8" s="5" cm="1">
        <f t="array" aca="1" ref="C8" ca="1">INDIRECT("'"&amp;LOOKUP($A8,$A$18:$A$27,$B$18:$B$27)&amp;"'!D6")-SUMIFS(Y:Y,U:U,$A8,X:X,B8)</f>
        <v>50</v>
      </c>
      <c r="D8" s="6"/>
      <c r="E8" s="5">
        <v>1.498126745223999</v>
      </c>
      <c r="F8" s="19"/>
      <c r="G8" s="5" cm="1">
        <f t="array" aca="1" ref="G8" ca="1">F8*MAX(0,INDIRECT("'"&amp;LOOKUP($A8,$A$18:$A$27,$B$18:$B$27)&amp;"'!F23")-SUMIFS(Y:Y,U:U,$A8,X:X,"Willpower Factor"))</f>
        <v>0</v>
      </c>
      <c r="H8" s="5" cm="1">
        <f t="array" aca="1" ref="H8" ca="1">IF(I5&gt;I7*2,MAX(1,INDIRECT("'"&amp;LOOKUP($A8,$A$18:$A$27,$B$18:$B$27)&amp;"'!F6")-SUMIFS(Y:Y,U:U,$A8,X:X,"Crit Factor")),1)</f>
        <v>1.1000000000000001</v>
      </c>
      <c r="I8" s="12">
        <f ca="1">IF(I5&gt;I7,SUM(C8:E8,G8)*H8,0)</f>
        <v>56.6479394197464</v>
      </c>
      <c r="J8" s="3"/>
      <c r="K8" s="2"/>
      <c r="L8" s="2"/>
    </row>
    <row r="9" spans="1:25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F9*MAX(0,INDIRECT("'"&amp;LOOKUP($A9,$A$18:$A$27,$B$18:$B$27)&amp;"'!F23")-SUMIFS(Y:Y,U:U,$A9,X:X,"Willpower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43.575338015189544</v>
      </c>
      <c r="J9" s="3" t="str">
        <f ca="1">IF(NOT(ISBLANK(E5)),IF(I5&gt;I7*2, "CRIT!",IF(I5&gt;I7,"HIT","miss")),"")</f>
        <v>CRIT!</v>
      </c>
      <c r="K9" s="2"/>
      <c r="L9" s="2"/>
    </row>
    <row r="10" spans="1:25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MAX(0,INDIRECT("'"&amp;LOOKUP($A10,$A$18:$A$27,$B$18:$B$27)&amp;"'!F16")-SUMIFS(Y:Y,U:U,$A10,X:X,B10))</f>
        <v>13.646666666666665</v>
      </c>
      <c r="D10" s="6"/>
      <c r="E10" s="5">
        <v>9.4497090578079224</v>
      </c>
      <c r="F10" s="19">
        <v>8</v>
      </c>
      <c r="G10" s="5" cm="1">
        <f t="array" aca="1" ref="G10" ca="1">F10*MAX(0,INDIRECT("'"&amp;LOOKUP($A10,$A$18:$A$27,$B$18:$B$27)&amp;"'!F23")-SUMIFS(Y:Y,U:U,$A10,X:X,"Willpower Factor"))</f>
        <v>18</v>
      </c>
      <c r="H10" s="5">
        <v>1</v>
      </c>
      <c r="I10" s="12">
        <f ca="1">SUM(C10:E10,G10)*H10</f>
        <v>41.096375724474584</v>
      </c>
      <c r="J10" s="3" t="str">
        <f ca="1">IF(NOT(ISBLANK(E5)),IF(IF(I5&gt;I7*2,I9*2,I9)&gt;I10,"WOUNDED",""),"")</f>
        <v>WOUNDED</v>
      </c>
      <c r="K10" s="2"/>
      <c r="L10" s="2"/>
    </row>
    <row r="11" spans="1:25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MAX(0,INDIRECT("'"&amp;LOOKUP($A11,$A$18:$A$27,$B$18:$B$27)&amp;"'!F18")-SUMIFS(Y:Y,U:U,$A11,X:X,B11))</f>
        <v>6.334545454545454</v>
      </c>
      <c r="D11" s="6"/>
      <c r="E11" s="5">
        <v>5.4087992799282079</v>
      </c>
      <c r="F11" s="19"/>
      <c r="G11" s="5" cm="1">
        <f t="array" aca="1" ref="G11" ca="1">F11*MAX(0,INDIRECT("'"&amp;LOOKUP($A11,$A$18:$A$27,$B$18:$B$27)&amp;"'!F23")-SUMIFS(Y:Y,U:U,$A11,X:X,"Willpower Factor"))</f>
        <v>0</v>
      </c>
      <c r="H11" s="5">
        <v>1</v>
      </c>
      <c r="I11" s="12">
        <f ca="1">SUM(C11:E11,G11)*H11</f>
        <v>11.743344734473663</v>
      </c>
      <c r="J11" s="3" t="str">
        <f ca="1">IF(NOT(ISBLANK(E5)),IF(IF(I5&gt;I7*2,I9*2,I9)&gt;I11,"WINCED",""),"")</f>
        <v>WINCED</v>
      </c>
      <c r="K11" s="2"/>
      <c r="L11" s="2"/>
    </row>
    <row r="12" spans="1:25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MAX(0,INDIRECT("'"&amp;LOOKUP($A12,$A$18:$A$27,$B$18:$B$27)&amp;"'!F20")-SUMIFS(Y:Y,U:U,$A12,X:X,B12))</f>
        <v>67.150000000000006</v>
      </c>
      <c r="D12" s="6"/>
      <c r="E12" s="5">
        <v>0.74541360139846802</v>
      </c>
      <c r="F12" s="19"/>
      <c r="G12" s="5" cm="1">
        <f t="array" aca="1" ref="G12" ca="1">F12*MAX(0,INDIRECT("'"&amp;LOOKUP($A12,$A$18:$A$27,$B$18:$B$27)&amp;"'!F23")-SUMIFS(Y:Y,U:U,$A12,X:X,"Willpower Factor"))</f>
        <v>0</v>
      </c>
      <c r="H12" s="5">
        <v>1</v>
      </c>
      <c r="I12" s="12">
        <f ca="1">SUM(C12:E12,G12)*H12</f>
        <v>67.895413601398474</v>
      </c>
      <c r="J12" s="3" t="str">
        <f ca="1">IF(I9&gt;0,IF(SUMIF(A18:A27,A12,F18:F27)-SUMIF(A18:A27,A12,E18:E27)&gt;I12,"UNCONSCIOUS",""),"")</f>
        <v/>
      </c>
      <c r="K12" s="2"/>
      <c r="L12" s="2"/>
    </row>
    <row r="13" spans="1:2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5" spans="1:25" x14ac:dyDescent="0.25">
      <c r="A15" t="s">
        <v>45</v>
      </c>
      <c r="B15" t="s">
        <v>5</v>
      </c>
      <c r="C15" s="2" t="s">
        <v>6</v>
      </c>
      <c r="D15" s="2" t="s">
        <v>197</v>
      </c>
      <c r="E15" s="5">
        <v>23.734229871419945</v>
      </c>
      <c r="G15" s="26" t="s">
        <v>124</v>
      </c>
      <c r="H15" s="26"/>
      <c r="I15" s="26"/>
      <c r="K15" s="8"/>
      <c r="L15" s="8"/>
    </row>
    <row r="17" spans="1:13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9"/>
    </row>
    <row r="18" spans="1:13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F18-SUMIF(P:P,A18,Q:Q)</f>
        <v>241.5</v>
      </c>
      <c r="F18" s="8" cm="1">
        <f t="array" aca="1" ref="F18" ca="1">INDIRECT("'"&amp;$B18&amp;"'!F9")</f>
        <v>241.5</v>
      </c>
      <c r="G18" s="8">
        <f t="shared" ref="G18:G27" ca="1" si="1">H18-SUMIF(O:O,A18,R:R)-SUMIF(P:P,A18,S:S)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3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  <c r="M19" s="8"/>
    </row>
    <row r="20" spans="1:13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  <c r="M20" s="8"/>
    </row>
    <row r="21" spans="1:13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  <c r="M21" s="8"/>
    </row>
    <row r="22" spans="1:13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  <c r="M22" s="8"/>
    </row>
    <row r="23" spans="1:13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  <c r="M23" s="8"/>
    </row>
    <row r="24" spans="1:13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  <c r="M24" s="8"/>
    </row>
    <row r="25" spans="1:13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  <c r="M25" s="8"/>
    </row>
    <row r="26" spans="1:13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  <c r="M26" s="8"/>
    </row>
    <row r="27" spans="1:13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  <c r="M27" s="8"/>
    </row>
    <row r="28" spans="1:13" hidden="1" x14ac:dyDescent="0.25">
      <c r="J28" s="8">
        <f t="shared" ref="J28" si="2">(MAX(0,100-(MAX(N:N)-0-7)*1.9))</f>
        <v>111.4</v>
      </c>
    </row>
    <row r="29" spans="1:13" hidden="1" x14ac:dyDescent="0.25"/>
    <row r="30" spans="1:13" hidden="1" x14ac:dyDescent="0.25"/>
    <row r="31" spans="1:13" hidden="1" x14ac:dyDescent="0.25"/>
    <row r="32" spans="1:1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4:19" hidden="1" x14ac:dyDescent="0.25"/>
    <row r="50" spans="14:19" hidden="1" x14ac:dyDescent="0.25"/>
    <row r="51" spans="14:19" hidden="1" x14ac:dyDescent="0.25"/>
    <row r="52" spans="14:19" hidden="1" x14ac:dyDescent="0.25"/>
    <row r="53" spans="14:19" hidden="1" x14ac:dyDescent="0.25">
      <c r="O53" s="11"/>
      <c r="P53" s="11"/>
      <c r="Q53" s="11"/>
      <c r="R53" s="11"/>
      <c r="S53" s="11"/>
    </row>
    <row r="54" spans="14:19" hidden="1" x14ac:dyDescent="0.25"/>
    <row r="55" spans="14:19" hidden="1" x14ac:dyDescent="0.25"/>
    <row r="56" spans="14:19" hidden="1" x14ac:dyDescent="0.25"/>
    <row r="57" spans="14:19" hidden="1" x14ac:dyDescent="0.25"/>
    <row r="58" spans="14:19" hidden="1" x14ac:dyDescent="0.25"/>
    <row r="59" spans="14:19" hidden="1" x14ac:dyDescent="0.25"/>
    <row r="60" spans="14:19" hidden="1" x14ac:dyDescent="0.25">
      <c r="N60" s="21"/>
      <c r="O60" s="22"/>
      <c r="P60" s="22"/>
      <c r="Q60" s="23"/>
      <c r="R60" s="24"/>
      <c r="S60" s="25"/>
    </row>
    <row r="61" spans="14:19" hidden="1" x14ac:dyDescent="0.25"/>
    <row r="62" spans="14:19" hidden="1" x14ac:dyDescent="0.25"/>
    <row r="63" spans="14:19" hidden="1" x14ac:dyDescent="0.25"/>
    <row r="64" spans="14:19" hidden="1" x14ac:dyDescent="0.25"/>
    <row r="65" spans="18:19" hidden="1" x14ac:dyDescent="0.25"/>
    <row r="66" spans="18:19" hidden="1" x14ac:dyDescent="0.25"/>
    <row r="67" spans="18:19" hidden="1" x14ac:dyDescent="0.25">
      <c r="R67"/>
      <c r="S67"/>
    </row>
    <row r="68" spans="18:19" hidden="1" x14ac:dyDescent="0.25"/>
    <row r="69" spans="18:19" hidden="1" x14ac:dyDescent="0.25"/>
    <row r="70" spans="18:19" hidden="1" x14ac:dyDescent="0.25"/>
    <row r="71" spans="18:19" hidden="1" x14ac:dyDescent="0.25"/>
    <row r="72" spans="18:19" hidden="1" x14ac:dyDescent="0.25"/>
    <row r="73" spans="18:19" hidden="1" x14ac:dyDescent="0.25"/>
    <row r="74" spans="18:19" hidden="1" x14ac:dyDescent="0.25"/>
    <row r="75" spans="18:19" hidden="1" x14ac:dyDescent="0.25"/>
    <row r="76" spans="18:19" hidden="1" x14ac:dyDescent="0.25"/>
    <row r="77" spans="18:19" hidden="1" x14ac:dyDescent="0.25"/>
    <row r="78" spans="18:19" hidden="1" x14ac:dyDescent="0.25"/>
    <row r="79" spans="18:19" hidden="1" x14ac:dyDescent="0.25"/>
    <row r="80" spans="18:19" hidden="1" x14ac:dyDescent="0.25"/>
    <row r="83" spans="2:10" x14ac:dyDescent="0.25">
      <c r="I83" t="s">
        <v>207</v>
      </c>
    </row>
    <row r="84" spans="2:10" x14ac:dyDescent="0.25">
      <c r="B84" t="s">
        <v>199</v>
      </c>
      <c r="C84" t="s">
        <v>200</v>
      </c>
      <c r="D84" t="s">
        <v>201</v>
      </c>
      <c r="E84" t="s">
        <v>202</v>
      </c>
      <c r="F84" t="s">
        <v>203</v>
      </c>
      <c r="G84" t="s">
        <v>204</v>
      </c>
      <c r="H84" t="s">
        <v>205</v>
      </c>
      <c r="I84" t="s">
        <v>206</v>
      </c>
    </row>
    <row r="85" spans="2:10" x14ac:dyDescent="0.25">
      <c r="B85" s="8">
        <f ca="1">C5</f>
        <v>7.7272727272727275</v>
      </c>
      <c r="C85" s="8">
        <f>E5</f>
        <v>17.495614290237427</v>
      </c>
      <c r="D85" s="8">
        <f ca="1">C7</f>
        <v>0.4</v>
      </c>
      <c r="E85" s="8">
        <f>E7</f>
        <v>25.391395914554597</v>
      </c>
      <c r="F85" s="8">
        <f ca="1">MIN(0,B85+C85-D85-E85)</f>
        <v>-0.56850889704444185</v>
      </c>
      <c r="G85" s="8">
        <f>MAX(C85-E85,1)</f>
        <v>1</v>
      </c>
      <c r="H85" s="8">
        <f ca="1">MIN(D85,B85-E85+C85)</f>
        <v>-0.16850889704444327</v>
      </c>
      <c r="J85" t="e">
        <f ca="1">(1/B85+1)*(F85+_xleta.SUM)</f>
        <v>#VALUE!</v>
      </c>
    </row>
    <row r="109" spans="18:19" x14ac:dyDescent="0.25">
      <c r="R109"/>
      <c r="S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Q1:S52 Q54:S1048576">
    <cfRule type="cellIs" dxfId="4" priority="1" operator="equal">
      <formula>0</formula>
    </cfRule>
  </conditionalFormatting>
  <dataValidations count="2">
    <dataValidation type="list" allowBlank="1" showInputMessage="1" showErrorMessage="1" sqref="U7:U1048576 U4:U5 O4:P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17</xdr:col>
                    <xdr:colOff>57150</xdr:colOff>
                    <xdr:row>0</xdr:row>
                    <xdr:rowOff>180975</xdr:rowOff>
                  </from>
                  <to>
                    <xdr:col>18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13</xdr:col>
                    <xdr:colOff>0</xdr:colOff>
                    <xdr:row>0</xdr:row>
                    <xdr:rowOff>180975</xdr:rowOff>
                  </from>
                  <to>
                    <xdr:col>14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14</xdr:col>
                    <xdr:colOff>409575</xdr:colOff>
                    <xdr:row>1</xdr:row>
                    <xdr:rowOff>0</xdr:rowOff>
                  </from>
                  <to>
                    <xdr:col>15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23</xdr:col>
                    <xdr:colOff>0</xdr:colOff>
                    <xdr:row>0</xdr:row>
                    <xdr:rowOff>180975</xdr:rowOff>
                  </from>
                  <to>
                    <xdr:col>25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V4:V5 V7:V1048576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W4:W5 W7:W1048576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X4:X5 X7:X1048576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1617.4787122513926</v>
      </c>
      <c r="B1">
        <f ca="1">SUMIFS(G:G,E:E,"&gt;="&amp;A1,F:F,"&lt;"&amp;A1)</f>
        <v>6</v>
      </c>
      <c r="E1"/>
    </row>
    <row r="3" spans="1:7" x14ac:dyDescent="0.25">
      <c r="A3" t="str">
        <f ca="1">LOOKUP($B$1,$G:$G,A:A)</f>
        <v>Shoulder</v>
      </c>
      <c r="B3" t="str">
        <f ca="1">LOOKUP($B$1,$G:$G,B:B)</f>
        <v>Left</v>
      </c>
      <c r="C3" t="str">
        <f ca="1">LOOKUP($B$1,$G:$G,C:C)</f>
        <v>Dodge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14" sqref="F14:F15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7" t="s">
        <v>95</v>
      </c>
      <c r="D2" s="27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tabSelected="1" workbookViewId="0">
      <selection activeCell="B17" sqref="B1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250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2024-12-09T19:16:13Z</dcterms:modified>
</cp:coreProperties>
</file>
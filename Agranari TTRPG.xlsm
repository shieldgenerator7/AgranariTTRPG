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8_{DB58AACE-EE95-444F-9341-FBCF10A954D8}" xr6:coauthVersionLast="47" xr6:coauthVersionMax="47" xr10:uidLastSave="{00000000-0000-0000-0000-000000000000}"/>
  <bookViews>
    <workbookView xWindow="12540" yWindow="0" windowWidth="206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Cat Soldier" sheetId="14" r:id="rId8"/>
    <sheet name="Weapons" sheetId="9" r:id="rId9"/>
    <sheet name="Features" sheetId="11" r:id="rId10"/>
    <sheet name="Features (Species)" sheetId="12" r:id="rId11"/>
    <sheet name="STAT COSTS" sheetId="7" r:id="rId12"/>
    <sheet name="Sources" sheetId="4" r:id="rId13"/>
    <sheet name="Changelog" sheetId="10" r:id="rId14"/>
  </sheets>
  <definedNames>
    <definedName name="_xleta.IF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0" i="5" l="1"/>
  <c r="O81" i="5"/>
  <c r="P81" i="5"/>
  <c r="P80" i="5"/>
  <c r="O79" i="5"/>
  <c r="P79" i="5"/>
  <c r="P78" i="5"/>
  <c r="O76" i="5"/>
  <c r="P76" i="5"/>
  <c r="P75" i="5"/>
  <c r="W13" i="5"/>
  <c r="P72" i="5"/>
  <c r="O71" i="5"/>
  <c r="P71" i="5"/>
  <c r="P70" i="5"/>
  <c r="Q69" i="5"/>
  <c r="O68" i="5"/>
  <c r="P68" i="5"/>
  <c r="P67" i="5"/>
  <c r="P66" i="5"/>
  <c r="P65" i="5"/>
  <c r="Q64" i="5"/>
  <c r="P63" i="5"/>
  <c r="P62" i="5"/>
  <c r="P61" i="5"/>
  <c r="P60" i="5"/>
  <c r="P59" i="5"/>
  <c r="P58" i="5"/>
  <c r="E23" i="14"/>
  <c r="W12" i="5"/>
  <c r="W11" i="5"/>
  <c r="W10" i="5"/>
  <c r="W9" i="5"/>
  <c r="W8" i="5"/>
  <c r="P31" i="5"/>
  <c r="O31" i="5"/>
  <c r="W7" i="5"/>
  <c r="W5" i="5"/>
  <c r="W4" i="5"/>
  <c r="E6" i="18"/>
  <c r="F7" i="18" s="1"/>
  <c r="C5" i="5" a="1"/>
  <c r="C8" i="5" a="1"/>
  <c r="J25" i="5" a="1"/>
  <c r="J24" i="5" a="1"/>
  <c r="J23" i="5" a="1"/>
  <c r="O48" i="5" a="1"/>
  <c r="O47" i="5" a="1"/>
  <c r="O46" i="5" a="1"/>
  <c r="O45" i="5" a="1"/>
  <c r="J21" i="5" a="1"/>
  <c r="J22" i="5" a="1"/>
  <c r="O30" i="5" a="1"/>
  <c r="O29" i="5" a="1"/>
  <c r="O28" i="5" a="1"/>
  <c r="O27" i="5" a="1"/>
  <c r="O25" i="5" a="1"/>
  <c r="O24" i="5" a="1"/>
  <c r="O23" i="5" a="1"/>
  <c r="O20" i="5" a="1"/>
  <c r="O19" i="5" a="1"/>
  <c r="J20" i="5" a="1"/>
  <c r="J19" i="5" a="1"/>
  <c r="O10" i="5" a="1"/>
  <c r="O9" i="5" a="1"/>
  <c r="O8" i="5" a="1"/>
  <c r="O7" i="5" a="1"/>
  <c r="C5" i="5" l="1"/>
  <c r="C8" i="5"/>
  <c r="J25" i="5"/>
  <c r="J24" i="5"/>
  <c r="J23" i="5"/>
  <c r="O48" i="5"/>
  <c r="O47" i="5"/>
  <c r="O46" i="5"/>
  <c r="O45" i="5"/>
  <c r="J21" i="5"/>
  <c r="J22" i="5"/>
  <c r="O30" i="5"/>
  <c r="O29" i="5"/>
  <c r="O28" i="5"/>
  <c r="O27" i="5"/>
  <c r="O25" i="5"/>
  <c r="O24" i="5"/>
  <c r="O23" i="5"/>
  <c r="O20" i="5"/>
  <c r="O19" i="5"/>
  <c r="J20" i="5"/>
  <c r="J19" i="5"/>
  <c r="E7" i="18"/>
  <c r="O10" i="5"/>
  <c r="O9" i="5"/>
  <c r="O8" i="5"/>
  <c r="O7" i="5"/>
  <c r="F8" i="18" l="1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J27" i="5" a="1"/>
  <c r="J26" i="5" a="1"/>
  <c r="C18" i="5" a="1"/>
  <c r="D18" i="5" a="1"/>
  <c r="F18" i="5" a="1"/>
  <c r="H18" i="5" a="1"/>
  <c r="E6" i="5" a="1"/>
  <c r="C6" i="5" a="1"/>
  <c r="C20" i="5" a="1"/>
  <c r="D23" i="5" a="1"/>
  <c r="H24" i="5" a="1"/>
  <c r="D25" i="5" a="1"/>
  <c r="F21" i="5" a="1"/>
  <c r="F26" i="5" a="1"/>
  <c r="C22" i="5" a="1"/>
  <c r="D20" i="5" a="1"/>
  <c r="H21" i="5" a="1"/>
  <c r="C25" i="5" a="1"/>
  <c r="F23" i="5" a="1"/>
  <c r="H26" i="5" a="1"/>
  <c r="F20" i="5" a="1"/>
  <c r="D22" i="5" a="1"/>
  <c r="H23" i="5" a="1"/>
  <c r="C27" i="5" a="1"/>
  <c r="F25" i="5" a="1"/>
  <c r="F27" i="5" a="1"/>
  <c r="C26" i="5" a="1"/>
  <c r="H20" i="5" a="1"/>
  <c r="C24" i="5" a="1"/>
  <c r="D27" i="5" a="1"/>
  <c r="D21" i="5" a="1"/>
  <c r="F22" i="5" a="1"/>
  <c r="D24" i="5" a="1"/>
  <c r="H27" i="5" a="1"/>
  <c r="C21" i="5" a="1"/>
  <c r="H25" i="5" a="1"/>
  <c r="H22" i="5" a="1"/>
  <c r="F24" i="5" a="1"/>
  <c r="C23" i="5" a="1"/>
  <c r="D26" i="5" a="1"/>
  <c r="H19" i="5" a="1"/>
  <c r="F19" i="5" a="1"/>
  <c r="D19" i="5" a="1"/>
  <c r="C19" i="5" a="1"/>
  <c r="E9" i="18" l="1"/>
  <c r="F9" i="18"/>
  <c r="J26" i="5"/>
  <c r="J27" i="5"/>
  <c r="H18" i="5"/>
  <c r="F18" i="5"/>
  <c r="E18" i="5" s="1"/>
  <c r="D18" i="5"/>
  <c r="C18" i="5"/>
  <c r="E6" i="5"/>
  <c r="C6" i="5"/>
  <c r="D26" i="5"/>
  <c r="C23" i="5"/>
  <c r="F24" i="5"/>
  <c r="E24" i="5" s="1"/>
  <c r="H22" i="5"/>
  <c r="H25" i="5"/>
  <c r="C21" i="5"/>
  <c r="H27" i="5"/>
  <c r="D24" i="5"/>
  <c r="F22" i="5"/>
  <c r="E22" i="5" s="1"/>
  <c r="D21" i="5"/>
  <c r="D27" i="5"/>
  <c r="C24" i="5"/>
  <c r="H20" i="5"/>
  <c r="C26" i="5"/>
  <c r="F27" i="5"/>
  <c r="E27" i="5" s="1"/>
  <c r="F25" i="5"/>
  <c r="E25" i="5" s="1"/>
  <c r="C27" i="5"/>
  <c r="H23" i="5"/>
  <c r="D22" i="5"/>
  <c r="F20" i="5"/>
  <c r="H26" i="5"/>
  <c r="F23" i="5"/>
  <c r="E23" i="5" s="1"/>
  <c r="C25" i="5"/>
  <c r="H21" i="5"/>
  <c r="D20" i="5"/>
  <c r="C22" i="5"/>
  <c r="F26" i="5"/>
  <c r="E26" i="5" s="1"/>
  <c r="F21" i="5"/>
  <c r="E21" i="5" s="1"/>
  <c r="D25" i="5"/>
  <c r="H24" i="5"/>
  <c r="D23" i="5"/>
  <c r="C20" i="5"/>
  <c r="H19" i="5"/>
  <c r="F19" i="5"/>
  <c r="D19" i="5"/>
  <c r="C19" i="5"/>
  <c r="E10" i="18" l="1"/>
  <c r="F10" i="18"/>
  <c r="E20" i="5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C7" i="5" a="1"/>
  <c r="C7" i="5" l="1"/>
  <c r="G21" i="5"/>
  <c r="G20" i="5"/>
  <c r="G27" i="5"/>
  <c r="G18" i="5"/>
  <c r="G25" i="5"/>
  <c r="G24" i="5"/>
  <c r="G26" i="5"/>
  <c r="G22" i="5"/>
  <c r="G23" i="5"/>
  <c r="A12" i="5" l="1"/>
  <c r="A11" i="5"/>
  <c r="A10" i="5"/>
  <c r="A9" i="5"/>
  <c r="A8" i="5"/>
  <c r="D6" i="14"/>
  <c r="D6" i="13"/>
  <c r="F6" i="14"/>
  <c r="E6" i="14"/>
  <c r="B6" i="14"/>
  <c r="F6" i="13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D34" i="13"/>
  <c r="F34" i="13" s="1"/>
  <c r="C3" i="8"/>
  <c r="D24" i="8"/>
  <c r="F24" i="8" s="1"/>
  <c r="D27" i="13"/>
  <c r="F27" i="13" s="1"/>
  <c r="D33" i="13"/>
  <c r="F33" i="13" s="1"/>
  <c r="D32" i="13"/>
  <c r="F32" i="13" s="1"/>
  <c r="D31" i="13"/>
  <c r="F31" i="13" s="1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11" i="5" a="1"/>
  <c r="C10" i="5" a="1"/>
  <c r="F9" i="5" a="1"/>
  <c r="C10" i="5" l="1"/>
  <c r="C11" i="5"/>
  <c r="F9" i="5"/>
  <c r="G6" i="5"/>
  <c r="F9" i="14"/>
  <c r="E11" i="14" l="1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F23" i="14"/>
  <c r="E10" i="14"/>
  <c r="F10" i="14" s="1"/>
  <c r="E19" i="5"/>
  <c r="G5" i="5"/>
  <c r="G7" i="5" l="1"/>
  <c r="H9" i="5" s="1"/>
  <c r="G19" i="5"/>
  <c r="G11" i="5" l="1"/>
  <c r="G10" i="5"/>
  <c r="F8" i="5" a="1"/>
  <c r="F8" i="5" l="1"/>
  <c r="G8" i="5" s="1"/>
  <c r="G9" i="5" l="1"/>
  <c r="H11" i="5" s="1"/>
  <c r="H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E11" i="13" l="1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C12" i="5" l="1"/>
  <c r="G12" i="5" s="1"/>
  <c r="H12" i="5" s="1"/>
  <c r="B3" i="18"/>
  <c r="A3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<sst xmlns="http://schemas.openxmlformats.org/spreadsheetml/2006/main" count="703" uniqueCount="190">
  <si>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</si>
  <si>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</si>
  <si>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</si>
  <si>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</si>
  <si>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</si>
  <si>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</si>
  <si>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</si>
  <si>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</si>
  <si>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</si>
  <si>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</si>
  <si>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</si>
  <si>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</si>
  <si>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</si>
  <si>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</si>
  <si>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</si>
  <si>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</si>
  <si>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</si>
  <si>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</si>
  <si>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</si>
  <si>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</si>
  <si>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</si>
  <si>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</si>
  <si>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</si>
  <si>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</si>
  <si>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</si>
  <si>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</si>
  <si>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</si>
  <si>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</si>
  <si>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</si>
  <si>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</si>
  <si>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</si>
  <si>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</si>
  <si>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</si>
  <si>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</si>
  <si>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</si>
  <si>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</si>
  <si>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</si>
  <si>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</si>
  <si>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</si>
  <si>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</si>
  <si>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</si>
  <si>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</si>
  <si>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</si>
  <si>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</si>
  <si>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</si>
  <si>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</si>
  <si>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</si>
  <si>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</si>
  <si>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</si>
  <si>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</si>
  <si>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</si>
  <si>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</si>
  <si>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</si>
  <si>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</si>
  <si>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</si>
  <si>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</si>
  <si>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</si>
  <si>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</si>
  <si>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</si>
  <si>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</si>
  <si>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</si>
  <si>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</si>
  <si>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</si>
  <si>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</si>
  <si>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</si>
  <si>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</si>
  <si>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</si>
  <si>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</si>
  <si>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</si>
  <si>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</si>
  <si>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</si>
  <si>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</si>
  <si>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</si>
  <si>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</si>
  <si>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</si>
  <si>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</si>
  <si>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</si>
  <si>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</si>
  <si>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</si>
  <si>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</si>
  <si>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</si>
  <si>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</si>
  <si>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</si>
  <si>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</si>
  <si>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</si>
  <si>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</si>
  <si>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</si>
  <si>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</si>
  <si>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</si>
  <si>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</si>
  <si>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</si>
  <si>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</si>
  <si>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</si>
  <si>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</si>
  <si>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</si>
  <si>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</si>
  <si>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</si>
  <si>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</si>
  <si>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</si>
  <si>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</si>
  <si>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</si>
  <si>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</si>
  <si>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</si>
  <si>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</si>
  <si>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</si>
  <si>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</si>
  <si>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</si>
  <si>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</si>
  <si>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</si>
  <si>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</si>
  <si>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</si>
  <si>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</si>
  <si>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</si>
  <si>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</si>
  <si>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</si>
  <si>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</si>
  <si>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</si>
  <si>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</si>
  <si>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</si>
  <si>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</si>
  <si>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</si>
  <si>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</si>
  <si>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</si>
  <si>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</si>
  <si>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</si>
  <si>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</si>
  <si>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</si>
  <si>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</si>
  <si>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</si>
  <si>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</si>
  <si>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</si>
  <si>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</si>
  <si>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</si>
  <si>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</si>
  <si>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</si>
  <si>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</si>
  <si>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</si>
  <si>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</si>
  <si>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</si>
  <si>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</si>
  <si>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</si>
  <si>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</si>
  <si>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</si>
  <si>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</si>
  <si>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</si>
  <si>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</si>
  <si>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</si>
  <si>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</si>
  <si>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1 Cat Soldier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</si>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</sst>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1" xfId="0" applyFont="1" applyFill="1" applyBorder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0" fontId="1" fillId="0" borderId="0" xfId="0" applyFont="1" applyFill="1" applyBorder="1" applyAlignment="1"/>
    <xf numFmtId="164" fontId="0" fillId="0" borderId="3" xfId="0" applyNumberFormat="1" applyBorder="1"/>
    <xf numFmtId="0" fontId="0" fillId="0" borderId="4" xfId="0" applyBorder="1"/>
    <xf numFmtId="1" fontId="0" fillId="0" borderId="5" xfId="0" applyNumberFormat="1" applyBorder="1"/>
    <xf numFmtId="0" fontId="0" fillId="0" borderId="0" xfId="0" applyFill="1" applyBorder="1"/>
  </cellXfs>
  <cellStyles count="1">
    <cellStyle name="Normal" xfId="0" builtinId="0"/>
  </cellStyles>
  <dxfs count="3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2</xdr:row>
          <xdr:rowOff>104775</xdr:rowOff>
        </xdr:from>
        <xdr:to>
          <xdr:col>8</xdr:col>
          <xdr:colOff>485775</xdr:colOff>
          <xdr:row>4</xdr:row>
          <xdr:rowOff>66675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A41" sqref="A41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2.1</v>
      </c>
      <c r="K29" s="8">
        <f>E29*SUMIF(Species!A:A,Species_Stats!A29,Species!B:B)</f>
        <v>44.1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1</v>
      </c>
      <c r="K40" s="8">
        <f>E40*SUMIF(Species!A:A,Species_Stats!A40,Species!B:B)</f>
        <v>21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9" t="s">
        <v>35</v>
      </c>
      <c r="D2" s="9"/>
      <c r="E2" s="9"/>
      <c r="F2" s="9"/>
      <c r="G2" s="9" t="s">
        <v>8</v>
      </c>
      <c r="H2" s="9"/>
      <c r="I2" s="9"/>
      <c r="J2" s="9" t="s">
        <v>44</v>
      </c>
      <c r="K2" s="9"/>
      <c r="L2" s="9"/>
      <c r="M2" s="9"/>
      <c r="N2" s="9"/>
      <c r="O2" s="9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W82"/>
  <sheetViews>
    <sheetView tabSelected="1" workbookViewId="0">
      <selection activeCell="E5" sqref="E5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7" width="9.140625" customWidth="1"/>
    <col min="8" max="8" width="15.7109375" customWidth="1"/>
    <col min="10" max="10" width="7.85546875" customWidth="1"/>
    <col min="11" max="11" width="12.85546875" customWidth="1"/>
    <col min="12" max="12" width="9.140625" style="8"/>
    <col min="13" max="14" width="11.85546875" bestFit="1" customWidth="1"/>
    <col min="16" max="16" width="11.85546875" style="17" bestFit="1" customWidth="1"/>
    <col min="17" max="17" width="12.5703125" customWidth="1"/>
    <col min="19" max="19" width="11.85546875" bestFit="1" customWidth="1"/>
    <col min="22" max="22" width="11.7109375" bestFit="1" customWidth="1"/>
    <col min="23" max="23" width="9.140625" style="8"/>
  </cols>
  <sheetData>
    <row r="1" spans="1:23" x14ac:dyDescent="0.25">
      <c r="A1" t="s">
        <v>51</v>
      </c>
      <c r="B1">
        <v>8.3333333333333339</v>
      </c>
      <c r="L1"/>
      <c r="P1"/>
      <c r="W1"/>
    </row>
    <row r="2" spans="1:23" x14ac:dyDescent="0.25">
      <c r="L2"/>
      <c r="P2"/>
      <c r="T2" s="22" t="s">
        <v>186</v>
      </c>
      <c r="U2" s="22"/>
      <c r="V2" s="22"/>
      <c r="W2" s="22"/>
    </row>
    <row r="3" spans="1:23" x14ac:dyDescent="0.25">
      <c r="A3" s="2"/>
      <c r="B3" s="2"/>
      <c r="C3" s="2"/>
      <c r="D3" s="2"/>
      <c r="E3" s="2"/>
      <c r="F3" s="2"/>
      <c r="G3" s="2"/>
      <c r="H3" s="2"/>
      <c r="I3" s="2"/>
      <c r="L3" s="1" t="s">
        <v>138</v>
      </c>
      <c r="M3" s="1" t="s">
        <v>128</v>
      </c>
      <c r="N3" s="1" t="s">
        <v>129</v>
      </c>
      <c r="O3" s="1" t="s">
        <v>50</v>
      </c>
      <c r="P3" s="1" t="s">
        <v>139</v>
      </c>
      <c r="Q3" s="1" t="s">
        <v>140</v>
      </c>
      <c r="S3" s="12" t="s">
        <v>47</v>
      </c>
      <c r="T3" s="12" t="s">
        <v>158</v>
      </c>
      <c r="U3" s="12" t="s">
        <v>168</v>
      </c>
      <c r="V3" s="12" t="s">
        <v>59</v>
      </c>
      <c r="W3" s="12" t="s">
        <v>187</v>
      </c>
    </row>
    <row r="4" spans="1:23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127</v>
      </c>
      <c r="G4" s="7" t="s">
        <v>54</v>
      </c>
      <c r="H4" s="2"/>
      <c r="I4" s="2"/>
      <c r="L4" s="8">
        <v>1</v>
      </c>
      <c r="M4" t="s">
        <v>157</v>
      </c>
      <c r="N4" t="s">
        <v>148</v>
      </c>
      <c r="O4" s="8">
        <v>0</v>
      </c>
      <c r="Q4" s="8"/>
      <c r="S4" t="s">
        <v>148</v>
      </c>
      <c r="T4" t="s">
        <v>163</v>
      </c>
      <c r="U4" t="s">
        <v>169</v>
      </c>
      <c r="V4" t="s">
        <v>19</v>
      </c>
      <c r="W4" s="8">
        <f>65.4-17.4</f>
        <v>48.000000000000007</v>
      </c>
    </row>
    <row r="5" spans="1:23" x14ac:dyDescent="0.25">
      <c r="A5" s="18" t="str">
        <f>LOOKUP(MAX(L:L),L:L,M:M)</f>
        <v>9 Cat Soldier</v>
      </c>
      <c r="B5" s="13" t="s">
        <v>8</v>
      </c>
      <c r="C5" s="5" cm="1">
        <f t="array" aca="1" ref="C5" ca="1">INDIRECT("'"&amp;LOOKUP($A5,$A$18:$A$27,$B$18:$B$27)&amp;"'!B6")-SUMIFS(W:W,S:S,$A5,V:V,B5)</f>
        <v>3.4090909090909092</v>
      </c>
      <c r="D5" s="5"/>
      <c r="E5" s="6">
        <v>3.9538264274597172</v>
      </c>
      <c r="F5" s="5">
        <v>1</v>
      </c>
      <c r="G5" s="15">
        <f ca="1">SUM(C5:E5)*F5</f>
        <v>7.3629173365506269</v>
      </c>
      <c r="H5" s="3"/>
      <c r="I5" s="2"/>
      <c r="L5" s="8">
        <v>2</v>
      </c>
      <c r="O5" s="8"/>
      <c r="Q5" s="8"/>
      <c r="S5" t="s">
        <v>149</v>
      </c>
      <c r="T5" t="s">
        <v>180</v>
      </c>
      <c r="U5" t="s">
        <v>175</v>
      </c>
      <c r="V5" t="s">
        <v>13</v>
      </c>
      <c r="W5" s="8">
        <f>50.6-21.7</f>
        <v>28.900000000000002</v>
      </c>
    </row>
    <row r="6" spans="1:23" hidden="1" x14ac:dyDescent="0.25">
      <c r="A6" s="2"/>
      <c r="B6" s="13" t="s">
        <v>53</v>
      </c>
      <c r="C6" s="5" t="e" cm="1">
        <f t="array" aca="1" ref="C6" ca="1">INDIRECT("'"&amp;LOOKUP($A6,$A$18:$A$27,$B$18:$B$27)&amp;"'!F14")</f>
        <v>#N/A</v>
      </c>
      <c r="D6" s="5"/>
      <c r="E6" s="6" t="e" cm="1">
        <f t="array" aca="1" ref="E6" ca="1">RAND()*INDIRECT("'"&amp;LOOKUP($A6,$A$18:$A$27,$B$18:$B$27)&amp;"'!F15")</f>
        <v>#N/A</v>
      </c>
      <c r="F6" s="5">
        <v>1</v>
      </c>
      <c r="G6" s="15" t="e">
        <f ca="1">SUM(C6:E6)*F6</f>
        <v>#N/A</v>
      </c>
      <c r="H6" s="3"/>
      <c r="I6" s="2"/>
      <c r="O6" s="8"/>
      <c r="Q6" s="8"/>
    </row>
    <row r="7" spans="1:23" x14ac:dyDescent="0.25">
      <c r="A7" s="18" t="str">
        <f>LOOKUP(MAX(L:L),L:L,N:N)</f>
        <v>0 Wryonin</v>
      </c>
      <c r="B7" s="13" t="s">
        <v>9</v>
      </c>
      <c r="C7" s="5" cm="1">
        <f t="array" aca="1" ref="C7" ca="1">INDIRECT("'"&amp;LOOKUP($A7,$A$18:$A$27,$B$18:$B$27)&amp;"'!F14")-SUMIFS(W:W,S:S,$A7,V:V,B7)</f>
        <v>0.8</v>
      </c>
      <c r="D7" s="5"/>
      <c r="E7" s="6">
        <v>9.2616355419158936</v>
      </c>
      <c r="F7" s="5">
        <v>1</v>
      </c>
      <c r="G7" s="15">
        <f ca="1">SUM(C7:E7)*F7</f>
        <v>10.061635541915894</v>
      </c>
      <c r="H7" s="3"/>
      <c r="I7" s="2"/>
      <c r="L7" s="8">
        <v>3</v>
      </c>
      <c r="M7" t="s">
        <v>157</v>
      </c>
      <c r="O7" s="8" cm="1">
        <f t="array" aca="1" ref="O7" ca="1">7.5*INDIRECT("'"&amp;$B$18&amp;"'!F28")</f>
        <v>4.3125</v>
      </c>
      <c r="Q7" s="8"/>
      <c r="S7" t="s">
        <v>149</v>
      </c>
      <c r="T7" t="s">
        <v>171</v>
      </c>
      <c r="U7" t="s">
        <v>175</v>
      </c>
      <c r="V7" t="s">
        <v>12</v>
      </c>
      <c r="W7" s="8">
        <f>43.1-10.4</f>
        <v>32.700000000000003</v>
      </c>
    </row>
    <row r="8" spans="1:23" x14ac:dyDescent="0.25">
      <c r="A8" s="2" t="str">
        <f>A5</f>
        <v>9 Cat Soldier</v>
      </c>
      <c r="B8" s="13" t="s">
        <v>50</v>
      </c>
      <c r="C8" s="5" cm="1">
        <f t="array" aca="1" ref="C8" ca="1">INDIRECT("'"&amp;LOOKUP($A8,$A$18:$A$27,$B$18:$B$27)&amp;"'!D6")-SUMIFS(W:W,S:S,$A8,V:V,B8)</f>
        <v>10</v>
      </c>
      <c r="D8" s="5"/>
      <c r="E8" s="6">
        <v>1.2575037479400635</v>
      </c>
      <c r="F8" s="5" cm="1">
        <f t="array" aca="1" ref="F8" ca="1">IF(G5&gt;G7*2,INDIRECT("'"&amp;LOOKUP($A8,$A$18:$A$27,$B$18:$B$27)&amp;"'!F6")-SUMIFS(W:W,S:S,$A8,V:V,"Crit Factor"),1)</f>
        <v>1</v>
      </c>
      <c r="G8" s="15">
        <f ca="1">SUM(C8:E8)*F8</f>
        <v>11.257503747940063</v>
      </c>
      <c r="H8" s="3"/>
      <c r="I8" s="2"/>
      <c r="L8" s="8">
        <v>4</v>
      </c>
      <c r="M8" t="s">
        <v>157</v>
      </c>
      <c r="O8" s="8" cm="1">
        <f t="array" aca="1" ref="O8" ca="1">8.5*INDIRECT("'"&amp;$B$18&amp;"'!F28")</f>
        <v>4.8874999999999993</v>
      </c>
      <c r="Q8" s="8"/>
      <c r="S8" t="s">
        <v>150</v>
      </c>
      <c r="T8" t="s">
        <v>164</v>
      </c>
      <c r="U8" t="s">
        <v>169</v>
      </c>
      <c r="V8" t="s">
        <v>20</v>
      </c>
      <c r="W8" s="8">
        <f>64.3-17.2</f>
        <v>47.099999999999994</v>
      </c>
    </row>
    <row r="9" spans="1:23" x14ac:dyDescent="0.25">
      <c r="A9" s="2" t="str">
        <f>A7</f>
        <v>0 Wryonin</v>
      </c>
      <c r="B9" s="13" t="s">
        <v>131</v>
      </c>
      <c r="C9" s="5"/>
      <c r="D9" s="5"/>
      <c r="E9" s="5"/>
      <c r="F9" s="5" cm="1">
        <f t="array" aca="1" ref="F9" ca="1">100/(100+INDIRECT("'"&amp;LOOKUP($A9,$A$18:$A$27,$B$18:$B$27)&amp;"'!G6"))</f>
        <v>0.83333333333333337</v>
      </c>
      <c r="G9" s="16">
        <f ca="1">G8*(F9)</f>
        <v>9.3812531232833862</v>
      </c>
      <c r="H9" s="3" t="str">
        <f ca="1">IF(G5&gt;G7*2, "CRIT!",IF(G5&gt;G7,"HIT","miss"))</f>
        <v>miss</v>
      </c>
      <c r="I9" s="2"/>
      <c r="L9" s="8">
        <v>5</v>
      </c>
      <c r="M9" t="s">
        <v>157</v>
      </c>
      <c r="O9" s="8" cm="1">
        <f t="array" aca="1" ref="O9" ca="1">7.1*INDIRECT("'"&amp;$B$18&amp;"'!F28")</f>
        <v>4.0824999999999996</v>
      </c>
      <c r="Q9" s="8"/>
      <c r="S9" t="s">
        <v>151</v>
      </c>
      <c r="T9" t="s">
        <v>165</v>
      </c>
      <c r="U9" t="s">
        <v>169</v>
      </c>
      <c r="V9" t="s">
        <v>120</v>
      </c>
      <c r="W9" s="8">
        <f>O37-23.8</f>
        <v>82.9</v>
      </c>
    </row>
    <row r="10" spans="1:23" x14ac:dyDescent="0.25">
      <c r="A10" s="2" t="str">
        <f>A7</f>
        <v>0 Wryonin</v>
      </c>
      <c r="B10" s="13" t="s">
        <v>13</v>
      </c>
      <c r="C10" s="5" cm="1">
        <f t="array" aca="1" ref="C10" ca="1">MAX(0,INDIRECT("'"&amp;LOOKUP($A10,$A$18:$A$27,$B$18:$B$27)&amp;"'!F16")-SUMIFS(W:W,S:S,$A10,V:V,B10))</f>
        <v>24.983333333333334</v>
      </c>
      <c r="D10" s="5"/>
      <c r="E10" s="6">
        <v>14.446171095967294</v>
      </c>
      <c r="F10" s="5">
        <v>1</v>
      </c>
      <c r="G10" s="15">
        <f ca="1">SUM(C10:E10)*F10</f>
        <v>39.429504429300628</v>
      </c>
      <c r="H10" s="3" t="str">
        <f ca="1">IF(G9&gt;G10,"WOUNDED","")</f>
        <v/>
      </c>
      <c r="I10" s="2"/>
      <c r="L10" s="8">
        <v>6</v>
      </c>
      <c r="M10" t="s">
        <v>157</v>
      </c>
      <c r="O10" s="8" cm="1">
        <f t="array" aca="1" ref="O10" ca="1">8.3*INDIRECT("'"&amp;$B$18&amp;"'!F28")</f>
        <v>4.7725</v>
      </c>
      <c r="Q10" s="8"/>
      <c r="S10" t="s">
        <v>152</v>
      </c>
      <c r="T10" t="s">
        <v>164</v>
      </c>
      <c r="U10" t="s">
        <v>169</v>
      </c>
      <c r="V10" t="s">
        <v>20</v>
      </c>
      <c r="W10" s="8">
        <f>72.1-14.1</f>
        <v>57.999999999999993</v>
      </c>
    </row>
    <row r="11" spans="1:23" x14ac:dyDescent="0.25">
      <c r="A11" s="2" t="str">
        <f>A7</f>
        <v>0 Wryonin</v>
      </c>
      <c r="B11" s="13" t="s">
        <v>11</v>
      </c>
      <c r="C11" s="5" cm="1">
        <f t="array" aca="1" ref="C11" ca="1">MAX(0,INDIRECT("'"&amp;LOOKUP($A11,$A$18:$A$27,$B$18:$B$27)&amp;"'!F18")-SUMIFS(W:W,S:S,$A11,V:V,B11))</f>
        <v>13.893181818181819</v>
      </c>
      <c r="D11" s="5"/>
      <c r="E11" s="6">
        <v>3.0596158325672156</v>
      </c>
      <c r="F11" s="5">
        <v>1</v>
      </c>
      <c r="G11" s="15">
        <f ca="1">SUM(C11:E11)*F11</f>
        <v>16.952797650749034</v>
      </c>
      <c r="H11" s="3" t="str">
        <f ca="1">IF(G9&gt;G11,"WINCED","")</f>
        <v/>
      </c>
      <c r="I11" s="2"/>
      <c r="L11" s="8">
        <v>7</v>
      </c>
      <c r="M11" t="s">
        <v>157</v>
      </c>
      <c r="N11" t="s">
        <v>148</v>
      </c>
      <c r="O11" s="8">
        <v>65.400000000000006</v>
      </c>
      <c r="Q11" s="8"/>
      <c r="S11" t="s">
        <v>153</v>
      </c>
      <c r="T11" t="s">
        <v>180</v>
      </c>
      <c r="U11" t="s">
        <v>175</v>
      </c>
      <c r="V11" t="s">
        <v>13</v>
      </c>
      <c r="W11" s="8">
        <f>63.3-27.4</f>
        <v>35.9</v>
      </c>
    </row>
    <row r="12" spans="1:23" x14ac:dyDescent="0.25">
      <c r="A12" s="2" t="str">
        <f>A7</f>
        <v>0 Wryonin</v>
      </c>
      <c r="B12" s="13" t="s">
        <v>19</v>
      </c>
      <c r="C12" s="5" cm="1">
        <f t="array" aca="1" ref="C12" ca="1">MAX(0,INDIRECT("'"&amp;LOOKUP($A12,$A$18:$A$27,$B$18:$B$27)&amp;"'!F20")-SUMIFS(W:W,S:S,$A12,V:V,B12))</f>
        <v>123.75</v>
      </c>
      <c r="D12" s="5"/>
      <c r="E12" s="6">
        <v>82.075774893164635</v>
      </c>
      <c r="F12" s="5">
        <v>1</v>
      </c>
      <c r="G12" s="15">
        <f ca="1">SUM(C12:E12)*F12</f>
        <v>205.82577489316463</v>
      </c>
      <c r="H12" s="3" t="str">
        <f ca="1">IF(SUMIF(A18:A27,A12,F18:F27)-SUMIF(A18:A27,A12,E18:E27)+G9&gt;G12,"UNCONSCIOUS","")</f>
        <v>UNCONSCIOUS</v>
      </c>
      <c r="I12" s="2"/>
      <c r="L12" s="8">
        <v>8</v>
      </c>
      <c r="O12" s="8"/>
      <c r="Q12" s="8"/>
      <c r="S12" t="s">
        <v>154</v>
      </c>
      <c r="T12" t="s">
        <v>171</v>
      </c>
      <c r="U12" t="s">
        <v>170</v>
      </c>
      <c r="V12" t="s">
        <v>10</v>
      </c>
      <c r="W12" s="8">
        <f>65.4-18</f>
        <v>47.400000000000006</v>
      </c>
    </row>
    <row r="13" spans="1:23" x14ac:dyDescent="0.25">
      <c r="A13" s="2"/>
      <c r="B13" s="2"/>
      <c r="C13" s="2"/>
      <c r="D13" s="2"/>
      <c r="E13" s="2"/>
      <c r="F13" s="2"/>
      <c r="G13" s="2"/>
      <c r="H13" s="2"/>
      <c r="I13" s="2"/>
      <c r="L13" s="8">
        <v>9</v>
      </c>
      <c r="M13" t="s">
        <v>157</v>
      </c>
      <c r="N13" t="s">
        <v>149</v>
      </c>
      <c r="O13" s="8">
        <v>50.6</v>
      </c>
      <c r="Q13" s="8"/>
      <c r="S13" t="s">
        <v>154</v>
      </c>
      <c r="T13" t="s">
        <v>165</v>
      </c>
      <c r="U13" t="s">
        <v>169</v>
      </c>
      <c r="V13" t="s">
        <v>120</v>
      </c>
      <c r="W13" s="8">
        <f>71.8-27.6</f>
        <v>44.199999999999996</v>
      </c>
    </row>
    <row r="14" spans="1:23" x14ac:dyDescent="0.25">
      <c r="L14" s="8">
        <v>10</v>
      </c>
      <c r="O14" s="8"/>
      <c r="Q14" s="8"/>
      <c r="S14" t="s">
        <v>156</v>
      </c>
      <c r="V14" t="s">
        <v>10</v>
      </c>
      <c r="W14" s="8">
        <v>50</v>
      </c>
    </row>
    <row r="15" spans="1:23" x14ac:dyDescent="0.25">
      <c r="L15" s="8">
        <v>11</v>
      </c>
      <c r="M15" t="s">
        <v>157</v>
      </c>
      <c r="N15" t="s">
        <v>149</v>
      </c>
      <c r="O15" s="8">
        <v>43.1</v>
      </c>
      <c r="Q15" s="8"/>
    </row>
    <row r="16" spans="1:23" x14ac:dyDescent="0.25">
      <c r="L16" s="8">
        <v>12</v>
      </c>
      <c r="O16" s="8"/>
      <c r="Q16" s="8"/>
    </row>
    <row r="17" spans="1:17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134</v>
      </c>
      <c r="J17" s="12" t="s">
        <v>147</v>
      </c>
      <c r="K17" s="11"/>
      <c r="L17" s="8">
        <v>13</v>
      </c>
      <c r="M17" t="s">
        <v>157</v>
      </c>
      <c r="N17" t="s">
        <v>150</v>
      </c>
      <c r="O17" s="8">
        <v>0</v>
      </c>
      <c r="Q17" s="8"/>
    </row>
    <row r="18" spans="1:17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ca="1">F18-SUMIF(N:N,A18,O:O)</f>
        <v>-2.5999999999999375</v>
      </c>
      <c r="F18" s="8" cm="1">
        <f t="array" aca="1" ref="F18" ca="1">INDIRECT("'"&amp;$B18&amp;"'!F9")</f>
        <v>241.5</v>
      </c>
      <c r="G18" s="8">
        <f ca="1">H18-SUMIF(M:M,A18,P:P)-SUMIF(N:N,A18,Q:Q)</f>
        <v>0.82380952380952621</v>
      </c>
      <c r="H18" s="8" cm="1">
        <f t="array" aca="1" ref="H18" ca="1">INDIRECT("'"&amp;$B18&amp;"'!F22")</f>
        <v>28.666666666666668</v>
      </c>
      <c r="I18" s="8"/>
      <c r="J18">
        <v>0</v>
      </c>
      <c r="L18" s="8">
        <v>14</v>
      </c>
      <c r="O18" s="8"/>
      <c r="Q18" s="8"/>
    </row>
    <row r="19" spans="1:17" x14ac:dyDescent="0.25">
      <c r="A19" t="s">
        <v>148</v>
      </c>
      <c r="B19" t="s">
        <v>51</v>
      </c>
      <c r="C19" s="8" t="str" cm="1">
        <f t="array" aca="1" ref="C19" ca="1">INDIRECT("'"&amp;$B19&amp;"'!D3")</f>
        <v>Cat</v>
      </c>
      <c r="D19" s="8" cm="1">
        <f t="array" aca="1" ref="D19" ca="1">INDIRECT("'"&amp;$B19&amp;"'!B3")</f>
        <v>21</v>
      </c>
      <c r="E19" s="8">
        <f ca="1">F19-SUMIF(N:N,A19,O:O)</f>
        <v>81.599999999999994</v>
      </c>
      <c r="F19" s="8" cm="1">
        <f t="array" aca="1" ref="F19" ca="1">INDIRECT("'"&amp;$B19&amp;"'!F9")</f>
        <v>147</v>
      </c>
      <c r="G19" s="8">
        <f ca="1">H19-SUMIF(M:M,A19,P:P)-SUMIF(N:N,A19,Q:Q)</f>
        <v>59.166666666666664</v>
      </c>
      <c r="H19" s="8" cm="1">
        <f t="array" aca="1" ref="H19" ca="1">INDIRECT("'"&amp;$B19&amp;"'!F22")</f>
        <v>59.166666666666664</v>
      </c>
      <c r="I19" s="8" t="s">
        <v>135</v>
      </c>
      <c r="J19" s="8" cm="1">
        <f t="array" aca="1" ref="J19" ca="1">MAX(0,100-7*INDIRECT("'"&amp;$B19&amp;"'!F12"))</f>
        <v>86.86333333333333</v>
      </c>
      <c r="K19" s="8"/>
      <c r="L19" s="8">
        <v>15</v>
      </c>
      <c r="M19" t="s">
        <v>157</v>
      </c>
      <c r="O19" s="8" cm="1">
        <f t="array" aca="1" ref="O19" ca="1">7.3*INDIRECT("'"&amp;$B$18&amp;"'!F28")</f>
        <v>4.1974999999999998</v>
      </c>
      <c r="Q19" s="8"/>
    </row>
    <row r="20" spans="1:17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F20-SUMIF(N:N,A20,O:O)</f>
        <v>53.3</v>
      </c>
      <c r="F20" s="8" cm="1">
        <f t="array" aca="1" ref="F20" ca="1">INDIRECT("'"&amp;$B20&amp;"'!F9")</f>
        <v>147</v>
      </c>
      <c r="G20" s="8">
        <f ca="1">H20-SUMIF(M:M,A20,P:P)-SUMIF(N:N,A20,Q:Q)</f>
        <v>59.166666666666664</v>
      </c>
      <c r="H20" s="8" cm="1">
        <f t="array" aca="1" ref="H20" ca="1">INDIRECT("'"&amp;$B20&amp;"'!F22")</f>
        <v>59.166666666666664</v>
      </c>
      <c r="I20" s="8" t="s">
        <v>135</v>
      </c>
      <c r="J20" s="8" cm="1">
        <f t="array" aca="1" ref="J20" ca="1">MAX(0,100-11*INDIRECT("'"&amp;$B20&amp;"'!F12"))</f>
        <v>79.356666666666669</v>
      </c>
      <c r="K20" s="8"/>
      <c r="L20" s="8">
        <v>16</v>
      </c>
      <c r="M20" t="s">
        <v>157</v>
      </c>
      <c r="O20" s="8" cm="1">
        <f t="array" aca="1" ref="O20" ca="1">17.6*INDIRECT("'"&amp;$B$18&amp;"'!F28")</f>
        <v>10.119999999999999</v>
      </c>
      <c r="Q20" s="8"/>
    </row>
    <row r="21" spans="1:17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F21-SUMIF(N:N,A21,O:O)</f>
        <v>82.7</v>
      </c>
      <c r="F21" s="8" cm="1">
        <f t="array" aca="1" ref="F21" ca="1">INDIRECT("'"&amp;$B21&amp;"'!F9")</f>
        <v>147</v>
      </c>
      <c r="G21" s="8">
        <f ca="1">H21-SUMIF(M:M,A21,P:P)-SUMIF(N:N,A21,Q:Q)</f>
        <v>59.166666666666664</v>
      </c>
      <c r="H21" s="8" cm="1">
        <f t="array" aca="1" ref="H21" ca="1">INDIRECT("'"&amp;$B21&amp;"'!F22")</f>
        <v>59.166666666666664</v>
      </c>
      <c r="I21" s="8" t="s">
        <v>135</v>
      </c>
      <c r="J21" s="8" cm="1">
        <f t="array" aca="1" ref="J21" ca="1">MAX(0,100-27*INDIRECT("'"&amp;$B21&amp;"'!F12"))</f>
        <v>49.33</v>
      </c>
      <c r="K21" s="8"/>
      <c r="L21" s="8">
        <v>17</v>
      </c>
      <c r="M21" t="s">
        <v>157</v>
      </c>
      <c r="N21" t="s">
        <v>150</v>
      </c>
      <c r="O21" s="8">
        <v>0</v>
      </c>
      <c r="Q21" s="8"/>
    </row>
    <row r="22" spans="1:17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F22-SUMIF(N:N,A22,O:O)</f>
        <v>40.299999999999997</v>
      </c>
      <c r="F22" s="8" cm="1">
        <f t="array" aca="1" ref="F22" ca="1">INDIRECT("'"&amp;$B22&amp;"'!F9")</f>
        <v>147</v>
      </c>
      <c r="G22" s="8">
        <f ca="1">H22-SUMIF(M:M,A22,P:P)-SUMIF(N:N,A22,Q:Q)</f>
        <v>59.166666666666664</v>
      </c>
      <c r="H22" s="8" cm="1">
        <f t="array" aca="1" ref="H22" ca="1">INDIRECT("'"&amp;$B22&amp;"'!F22")</f>
        <v>59.166666666666664</v>
      </c>
      <c r="I22" s="8" t="s">
        <v>135</v>
      </c>
      <c r="J22" s="8" cm="1">
        <f t="array" aca="1" ref="J22" ca="1">MAX(0,100-33*INDIRECT("'"&amp;$B22&amp;"'!F12"))</f>
        <v>38.07</v>
      </c>
      <c r="K22" s="8"/>
      <c r="L22" s="8">
        <v>18</v>
      </c>
      <c r="O22" s="8"/>
      <c r="Q22" s="8"/>
    </row>
    <row r="23" spans="1:17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F23-SUMIF(N:N,A23,O:O)</f>
        <v>74.900000000000006</v>
      </c>
      <c r="F23" s="8" cm="1">
        <f t="array" aca="1" ref="F23" ca="1">INDIRECT("'"&amp;$B23&amp;"'!F9")</f>
        <v>147</v>
      </c>
      <c r="G23" s="8">
        <f ca="1">H23-SUMIF(M:M,A23,P:P)-SUMIF(N:N,A23,Q:Q)</f>
        <v>59.166666666666664</v>
      </c>
      <c r="H23" s="8" cm="1">
        <f t="array" aca="1" ref="H23" ca="1">INDIRECT("'"&amp;$B23&amp;"'!F22")</f>
        <v>59.166666666666664</v>
      </c>
      <c r="I23" s="8" t="s">
        <v>135</v>
      </c>
      <c r="J23" s="8" cm="1">
        <f t="array" aca="1" ref="J23" ca="1">MAX(0,100-45*INDIRECT("'"&amp;$B23&amp;"'!F12"))</f>
        <v>15.549999999999997</v>
      </c>
      <c r="K23" s="8"/>
      <c r="L23" s="8">
        <v>19</v>
      </c>
      <c r="M23" t="s">
        <v>157</v>
      </c>
      <c r="O23" s="8" cm="1">
        <f t="array" aca="1" ref="O23" ca="1">8.8*INDIRECT("'"&amp;$B$18&amp;"'!F28")</f>
        <v>5.0599999999999996</v>
      </c>
      <c r="Q23" s="8"/>
    </row>
    <row r="24" spans="1:17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F24-SUMIF(N:N,A24,O:O)</f>
        <v>83.7</v>
      </c>
      <c r="F24" s="8" cm="1">
        <f t="array" aca="1" ref="F24" ca="1">INDIRECT("'"&amp;$B24&amp;"'!F9")</f>
        <v>147</v>
      </c>
      <c r="G24" s="8">
        <f ca="1">H24-SUMIF(M:M,A24,P:P)-SUMIF(N:N,A24,Q:Q)</f>
        <v>10.166666666666664</v>
      </c>
      <c r="H24" s="8" cm="1">
        <f t="array" aca="1" ref="H24" ca="1">INDIRECT("'"&amp;$B24&amp;"'!F22")</f>
        <v>59.166666666666664</v>
      </c>
      <c r="I24" s="8"/>
      <c r="J24" s="8" cm="1">
        <f t="array" aca="1" ref="J24" ca="1">MAX(0,100-(MAX(L:L)-1)*INDIRECT("'"&amp;$B24&amp;"'!F12"))</f>
        <v>0</v>
      </c>
      <c r="K24" s="8"/>
      <c r="L24" s="8">
        <v>20</v>
      </c>
      <c r="M24" t="s">
        <v>157</v>
      </c>
      <c r="O24" s="8" cm="1">
        <f t="array" aca="1" ref="O24" ca="1">7.9*INDIRECT("'"&amp;$B$18&amp;"'!F28")</f>
        <v>4.5424999999999995</v>
      </c>
      <c r="Q24" s="8"/>
    </row>
    <row r="25" spans="1:17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F25-SUMIF(N:N,A25,O:O)</f>
        <v>9.8000000000000114</v>
      </c>
      <c r="F25" s="8" cm="1">
        <f t="array" aca="1" ref="F25" ca="1">INDIRECT("'"&amp;$B25&amp;"'!F9")</f>
        <v>147</v>
      </c>
      <c r="G25" s="8">
        <f ca="1">H25-SUMIF(M:M,A25,P:P)-SUMIF(N:N,A25,Q:Q)</f>
        <v>-0.8333333333333357</v>
      </c>
      <c r="H25" s="8" cm="1">
        <f t="array" aca="1" ref="H25" ca="1">INDIRECT("'"&amp;$B25&amp;"'!F22")</f>
        <v>59.166666666666664</v>
      </c>
      <c r="I25" s="8" t="s">
        <v>135</v>
      </c>
      <c r="J25" s="8" cm="1">
        <f t="array" aca="1" ref="J25" ca="1">MAX(0,100-(MAX(L:L)-1)*INDIRECT("'"&amp;$B25&amp;"'!F12"))</f>
        <v>0</v>
      </c>
      <c r="K25" s="8"/>
      <c r="L25" s="8">
        <v>21</v>
      </c>
      <c r="M25" t="s">
        <v>157</v>
      </c>
      <c r="O25" s="8" cm="1">
        <f t="array" aca="1" ref="O25" ca="1">13.6*INDIRECT("'"&amp;$B$18&amp;"'!F28")</f>
        <v>7.8199999999999994</v>
      </c>
      <c r="Q25" s="8"/>
    </row>
    <row r="26" spans="1:17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F26-SUMIF(N:N,A26,O:O)</f>
        <v>147</v>
      </c>
      <c r="F26" s="8" cm="1">
        <f t="array" aca="1" ref="F26" ca="1">INDIRECT("'"&amp;$B26&amp;"'!F9")</f>
        <v>147</v>
      </c>
      <c r="G26" s="8">
        <f ca="1">H26-SUMIF(M:M,A26,P:P)-SUMIF(N:N,A26,Q:Q)</f>
        <v>9.1666666666666643</v>
      </c>
      <c r="H26" s="8" cm="1">
        <f t="array" aca="1" ref="H26" ca="1">INDIRECT("'"&amp;$B26&amp;"'!F22")</f>
        <v>59.166666666666664</v>
      </c>
      <c r="I26" s="8"/>
      <c r="J26" s="8" cm="1">
        <f t="array" aca="1" ref="J26" ca="1">MAX(0,100-MAX(L:L)*INDIRECT("'"&amp;$B26&amp;"'!F12"))</f>
        <v>0</v>
      </c>
      <c r="K26" s="8"/>
      <c r="L26" s="8">
        <v>22</v>
      </c>
      <c r="M26" t="s">
        <v>157</v>
      </c>
      <c r="N26" t="s">
        <v>150</v>
      </c>
      <c r="O26" s="8">
        <v>0</v>
      </c>
      <c r="Q26" s="8"/>
    </row>
    <row r="27" spans="1:17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F27-SUMIF(N:N,A27,O:O)</f>
        <v>147</v>
      </c>
      <c r="F27" s="8" cm="1">
        <f t="array" aca="1" ref="F27" ca="1">INDIRECT("'"&amp;$B27&amp;"'!F9")</f>
        <v>147</v>
      </c>
      <c r="G27" s="8">
        <f ca="1">H27-SUMIF(M:M,A27,P:P)-SUMIF(N:N,A27,Q:Q)</f>
        <v>-0.8333333333333357</v>
      </c>
      <c r="H27" s="8" cm="1">
        <f t="array" aca="1" ref="H27" ca="1">INDIRECT("'"&amp;$B27&amp;"'!F22")</f>
        <v>59.166666666666664</v>
      </c>
      <c r="I27" s="8"/>
      <c r="J27" s="8" cm="1">
        <f t="array" aca="1" ref="J27" ca="1">MAX(0,100-MAX(L:L)*INDIRECT("'"&amp;$B27&amp;"'!F12"))</f>
        <v>0</v>
      </c>
      <c r="K27" s="8"/>
      <c r="L27" s="8">
        <v>23</v>
      </c>
      <c r="M27" t="s">
        <v>157</v>
      </c>
      <c r="O27" s="8" cm="1">
        <f t="array" aca="1" ref="O27" ca="1">14.9*INDIRECT("'"&amp;$B$18&amp;"'!F28")</f>
        <v>8.567499999999999</v>
      </c>
      <c r="Q27" s="8"/>
    </row>
    <row r="28" spans="1:17" x14ac:dyDescent="0.25">
      <c r="L28" s="8">
        <v>24</v>
      </c>
      <c r="M28" t="s">
        <v>157</v>
      </c>
      <c r="O28" s="8" cm="1">
        <f t="array" aca="1" ref="O28" ca="1">8.5*INDIRECT("'"&amp;$B$18&amp;"'!F28")</f>
        <v>4.8874999999999993</v>
      </c>
      <c r="Q28" s="8"/>
    </row>
    <row r="29" spans="1:17" hidden="1" x14ac:dyDescent="0.25">
      <c r="L29" s="8">
        <v>25</v>
      </c>
      <c r="M29" t="s">
        <v>157</v>
      </c>
      <c r="O29" s="8" cm="1">
        <f t="array" aca="1" ref="O29" ca="1">12.1*INDIRECT("'"&amp;$B$18&amp;"'!F28")</f>
        <v>6.9574999999999996</v>
      </c>
    </row>
    <row r="30" spans="1:17" hidden="1" x14ac:dyDescent="0.25">
      <c r="L30" s="8">
        <v>26</v>
      </c>
      <c r="M30" t="s">
        <v>157</v>
      </c>
      <c r="O30" s="8" cm="1">
        <f t="array" aca="1" ref="O30" ca="1">9.7*INDIRECT("'"&amp;$B$18&amp;"'!F28")</f>
        <v>5.5774999999999988</v>
      </c>
      <c r="Q30" s="8"/>
    </row>
    <row r="31" spans="1:17" hidden="1" x14ac:dyDescent="0.25">
      <c r="L31" s="8">
        <v>27</v>
      </c>
      <c r="M31" t="s">
        <v>157</v>
      </c>
      <c r="N31" t="s">
        <v>150</v>
      </c>
      <c r="O31" s="8">
        <f>40+24.3</f>
        <v>64.3</v>
      </c>
      <c r="P31" s="17">
        <f>50.7-36.2/1.4</f>
        <v>24.842857142857142</v>
      </c>
      <c r="Q31" s="8"/>
    </row>
    <row r="32" spans="1:17" hidden="1" x14ac:dyDescent="0.25">
      <c r="L32" s="8">
        <v>28</v>
      </c>
      <c r="O32" s="8"/>
      <c r="Q32" s="8"/>
    </row>
    <row r="33" spans="12:17" hidden="1" x14ac:dyDescent="0.25">
      <c r="L33" s="8">
        <v>29</v>
      </c>
      <c r="M33" t="s">
        <v>157</v>
      </c>
      <c r="N33" t="s">
        <v>151</v>
      </c>
      <c r="O33" s="8">
        <v>0</v>
      </c>
      <c r="Q33" s="8"/>
    </row>
    <row r="34" spans="12:17" hidden="1" x14ac:dyDescent="0.25">
      <c r="L34" s="8">
        <v>30</v>
      </c>
      <c r="O34" s="8"/>
      <c r="Q34" s="8"/>
    </row>
    <row r="35" spans="12:17" hidden="1" x14ac:dyDescent="0.25">
      <c r="L35" s="8">
        <v>31</v>
      </c>
      <c r="M35" t="s">
        <v>157</v>
      </c>
      <c r="N35" t="s">
        <v>151</v>
      </c>
      <c r="O35" s="8">
        <v>0</v>
      </c>
      <c r="Q35" s="8"/>
    </row>
    <row r="36" spans="12:17" hidden="1" x14ac:dyDescent="0.25">
      <c r="L36" s="8">
        <v>32</v>
      </c>
      <c r="O36" s="8"/>
      <c r="Q36" s="8"/>
    </row>
    <row r="37" spans="12:17" hidden="1" x14ac:dyDescent="0.25">
      <c r="L37" s="8">
        <v>33</v>
      </c>
      <c r="M37" t="s">
        <v>157</v>
      </c>
      <c r="N37" t="s">
        <v>151</v>
      </c>
      <c r="O37" s="8">
        <v>106.7</v>
      </c>
      <c r="Q37" s="8"/>
    </row>
    <row r="38" spans="12:17" hidden="1" x14ac:dyDescent="0.25">
      <c r="L38" s="8">
        <v>34</v>
      </c>
      <c r="O38" s="8"/>
      <c r="Q38" s="8"/>
    </row>
    <row r="39" spans="12:17" hidden="1" x14ac:dyDescent="0.25">
      <c r="L39" s="8">
        <v>35</v>
      </c>
      <c r="M39" t="s">
        <v>157</v>
      </c>
      <c r="N39" t="s">
        <v>152</v>
      </c>
      <c r="O39" s="8">
        <v>0</v>
      </c>
      <c r="Q39" s="8"/>
    </row>
    <row r="40" spans="12:17" hidden="1" x14ac:dyDescent="0.25">
      <c r="L40" s="8">
        <v>36</v>
      </c>
      <c r="O40" s="8"/>
      <c r="Q40" s="8"/>
    </row>
    <row r="41" spans="12:17" hidden="1" x14ac:dyDescent="0.25">
      <c r="L41" s="8">
        <v>37</v>
      </c>
      <c r="M41" t="s">
        <v>157</v>
      </c>
      <c r="N41" t="s">
        <v>152</v>
      </c>
      <c r="O41" s="8">
        <v>0</v>
      </c>
      <c r="Q41" s="8"/>
    </row>
    <row r="42" spans="12:17" hidden="1" x14ac:dyDescent="0.25">
      <c r="L42" s="8">
        <v>38</v>
      </c>
      <c r="O42" s="8"/>
      <c r="Q42" s="8"/>
    </row>
    <row r="43" spans="12:17" hidden="1" x14ac:dyDescent="0.25">
      <c r="L43" s="8">
        <v>39</v>
      </c>
      <c r="M43" t="s">
        <v>157</v>
      </c>
      <c r="N43" t="s">
        <v>152</v>
      </c>
      <c r="O43">
        <v>0</v>
      </c>
    </row>
    <row r="44" spans="12:17" hidden="1" x14ac:dyDescent="0.25">
      <c r="L44" s="8">
        <v>40</v>
      </c>
    </row>
    <row r="45" spans="12:17" hidden="1" x14ac:dyDescent="0.25">
      <c r="L45" s="8">
        <v>41</v>
      </c>
      <c r="M45" t="s">
        <v>157</v>
      </c>
      <c r="O45" s="8" cm="1">
        <f t="array" aca="1" ref="O45" ca="1">11.8*INDIRECT("'"&amp;$B$18&amp;"'!F28")</f>
        <v>6.7850000000000001</v>
      </c>
    </row>
    <row r="46" spans="12:17" hidden="1" x14ac:dyDescent="0.25">
      <c r="L46" s="8">
        <v>42</v>
      </c>
      <c r="M46" t="s">
        <v>157</v>
      </c>
      <c r="O46" s="8" cm="1">
        <f t="array" aca="1" ref="O46" ca="1">13.5*INDIRECT("'"&amp;$B$18&amp;"'!F28")</f>
        <v>7.7624999999999993</v>
      </c>
    </row>
    <row r="47" spans="12:17" hidden="1" x14ac:dyDescent="0.25">
      <c r="L47" s="8">
        <v>43</v>
      </c>
      <c r="M47" t="s">
        <v>157</v>
      </c>
      <c r="O47" s="8" cm="1">
        <f t="array" aca="1" ref="O47" ca="1">14.9*INDIRECT("'"&amp;$B$18&amp;"'!F28")</f>
        <v>8.567499999999999</v>
      </c>
    </row>
    <row r="48" spans="12:17" hidden="1" x14ac:dyDescent="0.25">
      <c r="L48" s="8">
        <v>44</v>
      </c>
      <c r="M48" t="s">
        <v>157</v>
      </c>
      <c r="O48" s="8" cm="1">
        <f t="array" aca="1" ref="O48" ca="1">7.3*INDIRECT("'"&amp;$B$18&amp;"'!F28")</f>
        <v>4.1974999999999998</v>
      </c>
    </row>
    <row r="49" spans="12:17" hidden="1" x14ac:dyDescent="0.25">
      <c r="L49" s="8">
        <v>45</v>
      </c>
      <c r="M49" t="s">
        <v>157</v>
      </c>
      <c r="N49" t="s">
        <v>152</v>
      </c>
      <c r="O49">
        <v>72.099999999999994</v>
      </c>
    </row>
    <row r="50" spans="12:17" hidden="1" x14ac:dyDescent="0.25">
      <c r="L50" s="8">
        <v>46</v>
      </c>
    </row>
    <row r="51" spans="12:17" hidden="1" x14ac:dyDescent="0.25">
      <c r="L51" s="8">
        <v>47</v>
      </c>
      <c r="M51" t="s">
        <v>157</v>
      </c>
      <c r="N51" t="s">
        <v>153</v>
      </c>
      <c r="O51">
        <v>0</v>
      </c>
    </row>
    <row r="52" spans="12:17" hidden="1" x14ac:dyDescent="0.25">
      <c r="L52" s="8">
        <v>48</v>
      </c>
    </row>
    <row r="53" spans="12:17" hidden="1" x14ac:dyDescent="0.25">
      <c r="L53" s="8">
        <v>49</v>
      </c>
      <c r="M53" t="s">
        <v>157</v>
      </c>
      <c r="N53" t="s">
        <v>153</v>
      </c>
      <c r="O53">
        <v>63.3</v>
      </c>
    </row>
    <row r="54" spans="12:17" hidden="1" x14ac:dyDescent="0.25">
      <c r="L54" s="8">
        <v>50</v>
      </c>
    </row>
    <row r="55" spans="12:17" hidden="1" x14ac:dyDescent="0.25">
      <c r="L55" s="8">
        <v>51</v>
      </c>
      <c r="M55" t="s">
        <v>157</v>
      </c>
      <c r="N55" t="s">
        <v>154</v>
      </c>
      <c r="O55">
        <v>65.400000000000006</v>
      </c>
    </row>
    <row r="56" spans="12:17" hidden="1" x14ac:dyDescent="0.25">
      <c r="L56" s="8">
        <v>52</v>
      </c>
    </row>
    <row r="57" spans="12:17" hidden="1" x14ac:dyDescent="0.25">
      <c r="L57" s="8">
        <v>53</v>
      </c>
      <c r="M57" t="s">
        <v>157</v>
      </c>
      <c r="N57" t="s">
        <v>155</v>
      </c>
      <c r="O57">
        <v>0</v>
      </c>
    </row>
    <row r="58" spans="12:17" hidden="1" x14ac:dyDescent="0.25">
      <c r="L58" s="8">
        <v>53.1</v>
      </c>
      <c r="M58" t="s">
        <v>155</v>
      </c>
      <c r="N58" t="s">
        <v>157</v>
      </c>
      <c r="O58">
        <v>11.2</v>
      </c>
      <c r="P58" s="17">
        <f>CEILING((11.4-9.8)/2.3,1)</f>
        <v>1</v>
      </c>
    </row>
    <row r="59" spans="12:17" hidden="1" x14ac:dyDescent="0.25">
      <c r="L59" s="8">
        <v>53.2</v>
      </c>
      <c r="M59" t="s">
        <v>156</v>
      </c>
      <c r="N59" t="s">
        <v>157</v>
      </c>
      <c r="O59">
        <v>10.6</v>
      </c>
      <c r="P59" s="17">
        <f>CEILING((36.2-4.8)/2.3,1)</f>
        <v>14</v>
      </c>
    </row>
    <row r="60" spans="12:17" hidden="1" x14ac:dyDescent="0.25">
      <c r="L60" s="8">
        <v>54</v>
      </c>
      <c r="M60" t="s">
        <v>155</v>
      </c>
      <c r="N60" t="s">
        <v>157</v>
      </c>
      <c r="O60">
        <v>11</v>
      </c>
      <c r="P60" s="17">
        <f>CEILING((22-3.5)/2.3,1)</f>
        <v>9</v>
      </c>
    </row>
    <row r="61" spans="12:17" hidden="1" x14ac:dyDescent="0.25">
      <c r="L61" s="8">
        <v>54.1</v>
      </c>
      <c r="M61" t="s">
        <v>156</v>
      </c>
      <c r="N61" t="s">
        <v>157</v>
      </c>
      <c r="O61">
        <v>11.3</v>
      </c>
      <c r="P61" s="17">
        <f>CEILING((24.8-9.8)/2.3,1)</f>
        <v>7</v>
      </c>
    </row>
    <row r="62" spans="12:17" hidden="1" x14ac:dyDescent="0.25">
      <c r="L62" s="8">
        <v>54.2</v>
      </c>
      <c r="M62" t="s">
        <v>153</v>
      </c>
      <c r="N62" t="s">
        <v>157</v>
      </c>
      <c r="O62">
        <v>11.3</v>
      </c>
      <c r="P62" s="17">
        <f>CEILING((20.9-7)/2.3,1)</f>
        <v>7</v>
      </c>
    </row>
    <row r="63" spans="12:17" hidden="1" x14ac:dyDescent="0.25">
      <c r="L63" s="8">
        <v>54.3</v>
      </c>
      <c r="M63" t="s">
        <v>154</v>
      </c>
      <c r="N63" t="s">
        <v>157</v>
      </c>
      <c r="O63">
        <v>10.5</v>
      </c>
      <c r="P63" s="17">
        <f>CEILING((35.7-6.2)/2.3,1)</f>
        <v>13</v>
      </c>
    </row>
    <row r="64" spans="12:17" hidden="1" x14ac:dyDescent="0.25">
      <c r="L64" s="8">
        <v>55</v>
      </c>
      <c r="M64" t="s">
        <v>157</v>
      </c>
      <c r="N64" t="s">
        <v>154</v>
      </c>
      <c r="O64">
        <v>0</v>
      </c>
      <c r="Q64">
        <f>CEILING((14.2-(-33.5))/2.3,1)</f>
        <v>21</v>
      </c>
    </row>
    <row r="65" spans="12:17" x14ac:dyDescent="0.25">
      <c r="L65" s="8">
        <v>55.1</v>
      </c>
      <c r="M65" t="s">
        <v>155</v>
      </c>
      <c r="N65" t="s">
        <v>157</v>
      </c>
      <c r="O65">
        <v>11.5</v>
      </c>
      <c r="P65" s="17">
        <f>CEILING((33.9-7.5)/2.3,1)</f>
        <v>12</v>
      </c>
    </row>
    <row r="66" spans="12:17" x14ac:dyDescent="0.25">
      <c r="L66" s="8">
        <v>55.2</v>
      </c>
      <c r="M66" t="s">
        <v>156</v>
      </c>
      <c r="N66" t="s">
        <v>157</v>
      </c>
      <c r="O66">
        <v>11.6</v>
      </c>
      <c r="P66" s="17">
        <f>CEILING((28.4-3.6)/2.3,1)</f>
        <v>11</v>
      </c>
    </row>
    <row r="67" spans="12:17" x14ac:dyDescent="0.25">
      <c r="L67" s="8">
        <v>55.3</v>
      </c>
      <c r="M67" t="s">
        <v>153</v>
      </c>
      <c r="N67" t="s">
        <v>157</v>
      </c>
      <c r="O67">
        <v>10.6</v>
      </c>
      <c r="P67" s="17">
        <f>CEILING((14.9-4)/2.3,1)</f>
        <v>5</v>
      </c>
    </row>
    <row r="68" spans="12:17" x14ac:dyDescent="0.25">
      <c r="L68" s="8">
        <v>55.4</v>
      </c>
      <c r="M68" t="s">
        <v>154</v>
      </c>
      <c r="N68" t="s">
        <v>157</v>
      </c>
      <c r="O68">
        <f>10.3*1.5</f>
        <v>15.450000000000001</v>
      </c>
      <c r="P68" s="17">
        <f>CEILING((20.1-7.6)/2.3,1)</f>
        <v>6</v>
      </c>
    </row>
    <row r="69" spans="12:17" x14ac:dyDescent="0.25">
      <c r="L69" s="8">
        <v>56</v>
      </c>
      <c r="M69" t="s">
        <v>155</v>
      </c>
      <c r="N69" t="s">
        <v>157</v>
      </c>
      <c r="O69">
        <v>0</v>
      </c>
      <c r="Q69">
        <f>CEILING((3.8-2.2)/1.4,1)</f>
        <v>2</v>
      </c>
    </row>
    <row r="70" spans="12:17" x14ac:dyDescent="0.25">
      <c r="L70" s="8">
        <v>56.1</v>
      </c>
      <c r="M70" t="s">
        <v>156</v>
      </c>
      <c r="N70" t="s">
        <v>157</v>
      </c>
      <c r="O70">
        <v>10.7</v>
      </c>
      <c r="P70" s="17">
        <f>CEILING((29.2-9.1)/2.3,1)</f>
        <v>9</v>
      </c>
    </row>
    <row r="71" spans="12:17" x14ac:dyDescent="0.25">
      <c r="L71" s="8">
        <v>56.2</v>
      </c>
      <c r="M71" t="s">
        <v>153</v>
      </c>
      <c r="N71" t="s">
        <v>157</v>
      </c>
      <c r="O71">
        <f>10.6*1.5</f>
        <v>15.899999999999999</v>
      </c>
      <c r="P71" s="17">
        <f>CEILING((17.9-6.3)/2.3,1)</f>
        <v>6</v>
      </c>
    </row>
    <row r="72" spans="12:17" x14ac:dyDescent="0.25">
      <c r="L72" s="8">
        <v>56.3</v>
      </c>
      <c r="M72" t="s">
        <v>154</v>
      </c>
      <c r="N72" t="s">
        <v>157</v>
      </c>
      <c r="O72">
        <v>11.6</v>
      </c>
      <c r="P72" s="17">
        <f>CEILING((29.7-5.2)/2.3,1)</f>
        <v>11</v>
      </c>
    </row>
    <row r="73" spans="12:17" x14ac:dyDescent="0.25">
      <c r="L73" s="8">
        <v>57</v>
      </c>
      <c r="M73" t="s">
        <v>157</v>
      </c>
      <c r="N73" t="s">
        <v>154</v>
      </c>
      <c r="O73">
        <v>71.8</v>
      </c>
      <c r="Q73">
        <v>9</v>
      </c>
    </row>
    <row r="74" spans="12:17" x14ac:dyDescent="0.25">
      <c r="L74" s="8">
        <v>58</v>
      </c>
      <c r="M74" t="s">
        <v>155</v>
      </c>
      <c r="N74" t="s">
        <v>157</v>
      </c>
      <c r="O74">
        <v>0</v>
      </c>
      <c r="Q74">
        <v>1</v>
      </c>
    </row>
    <row r="75" spans="12:17" x14ac:dyDescent="0.25">
      <c r="L75" s="8">
        <v>58.1</v>
      </c>
      <c r="M75" t="s">
        <v>156</v>
      </c>
      <c r="N75" t="s">
        <v>157</v>
      </c>
      <c r="O75">
        <v>10.7</v>
      </c>
      <c r="P75" s="17">
        <f>CEILING((27.3-9)/2.3,1)</f>
        <v>8</v>
      </c>
    </row>
    <row r="76" spans="12:17" x14ac:dyDescent="0.25">
      <c r="L76" s="23">
        <v>58.2</v>
      </c>
      <c r="M76" s="24" t="s">
        <v>153</v>
      </c>
      <c r="N76" s="24" t="s">
        <v>157</v>
      </c>
      <c r="O76" s="24">
        <f>11.9*1.5</f>
        <v>17.850000000000001</v>
      </c>
      <c r="P76" s="25">
        <f>CEILING((15.3-4.3)/2.3,1)</f>
        <v>5</v>
      </c>
    </row>
    <row r="77" spans="12:17" x14ac:dyDescent="0.25">
      <c r="L77" s="8">
        <v>59</v>
      </c>
      <c r="M77" t="s">
        <v>157</v>
      </c>
      <c r="N77" t="s">
        <v>153</v>
      </c>
      <c r="O77" s="26">
        <v>0</v>
      </c>
    </row>
    <row r="78" spans="12:17" x14ac:dyDescent="0.25">
      <c r="L78" s="8">
        <v>59.1</v>
      </c>
      <c r="M78" t="s">
        <v>155</v>
      </c>
      <c r="N78" t="s">
        <v>157</v>
      </c>
      <c r="O78" s="26">
        <v>11.6</v>
      </c>
      <c r="P78" s="17">
        <f>CEILING((33.8-5.5)/2.3,1)</f>
        <v>13</v>
      </c>
    </row>
    <row r="79" spans="12:17" x14ac:dyDescent="0.25">
      <c r="L79" s="8">
        <v>59.2</v>
      </c>
      <c r="M79" t="s">
        <v>156</v>
      </c>
      <c r="N79" t="s">
        <v>157</v>
      </c>
      <c r="O79">
        <f>10.4*1.5</f>
        <v>15.600000000000001</v>
      </c>
      <c r="P79" s="17">
        <f>CEILING((7.7-6.7)/2.3,1)</f>
        <v>1</v>
      </c>
    </row>
    <row r="80" spans="12:17" x14ac:dyDescent="0.25">
      <c r="L80" s="8">
        <v>59.3</v>
      </c>
      <c r="M80" t="s">
        <v>153</v>
      </c>
      <c r="N80" t="s">
        <v>157</v>
      </c>
      <c r="O80">
        <f>8.4*1.5</f>
        <v>12.600000000000001</v>
      </c>
      <c r="P80" s="17">
        <f>CEILING((63.9-5.6)/2.3,1)</f>
        <v>26</v>
      </c>
    </row>
    <row r="81" spans="12:16" x14ac:dyDescent="0.25">
      <c r="L81" s="8">
        <v>60</v>
      </c>
      <c r="M81" t="s">
        <v>155</v>
      </c>
      <c r="N81" t="s">
        <v>157</v>
      </c>
      <c r="O81">
        <f>8.6*1.5</f>
        <v>12.899999999999999</v>
      </c>
      <c r="P81" s="17">
        <f>CEILING((43.1-8.9)/2.3,1)</f>
        <v>15</v>
      </c>
    </row>
    <row r="82" spans="12:16" x14ac:dyDescent="0.25">
      <c r="L82" s="8">
        <v>60.1</v>
      </c>
      <c r="M82" t="s">
        <v>156</v>
      </c>
      <c r="N82" t="s">
        <v>157</v>
      </c>
      <c r="O82">
        <v>9.6</v>
      </c>
      <c r="P82" s="17">
        <v>10</v>
      </c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19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S4:S1048576 M4:N8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7</xdr:col>
                    <xdr:colOff>762000</xdr:colOff>
                    <xdr:row>2</xdr:row>
                    <xdr:rowOff>104775</xdr:rowOff>
                  </from>
                  <to>
                    <xdr:col>8</xdr:col>
                    <xdr:colOff>485775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A33113-B9B0-49B1-B43D-FB2911D89561}">
          <x14:formula1>
            <xm:f>'STAT COSTS'!$A:$A</xm:f>
          </x14:formula1>
          <xm:sqref>V4:V1048576</xm:sqref>
        </x14:dataValidation>
        <x14:dataValidation type="list" allowBlank="1" showInputMessage="1" showErrorMessage="1" xr:uid="{A885EF46-0AF2-4286-9343-FCB4475A2DF3}">
          <x14:formula1>
            <xm:f>'Wound Generator'!$A:$A</xm:f>
          </x14:formula1>
          <xm:sqref>T4:T1048576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U4:U1048576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23" sqref="I23"/>
    </sheetView>
  </sheetViews>
  <sheetFormatPr defaultRowHeight="15" x14ac:dyDescent="0.25"/>
  <cols>
    <col min="3" max="3" width="10.42578125" bestFit="1" customWidth="1"/>
    <col min="5" max="7" width="9.140625" style="20"/>
  </cols>
  <sheetData>
    <row r="1" spans="1:7" x14ac:dyDescent="0.25">
      <c r="A1">
        <f ca="1">RAND()*MAX(E:E)</f>
        <v>3209.1871828273588</v>
      </c>
      <c r="B1">
        <f ca="1">SUMIFS(G:G,E:E,"&gt;="&amp;A1,F:F,"&lt;"&amp;A1)</f>
        <v>27</v>
      </c>
      <c r="E1"/>
    </row>
    <row r="3" spans="1:7" x14ac:dyDescent="0.25">
      <c r="A3" t="str">
        <f ca="1">LOOKUP($B$1,$G:$G,A:A)</f>
        <v>Heel</v>
      </c>
      <c r="B3" t="str">
        <f ca="1">LOOKUP($B$1,$G:$G,B:B)</f>
        <v>Right</v>
      </c>
      <c r="C3" t="str">
        <f ca="1">LOOKUP($B$1,$G:$G,C:C)</f>
        <v>Max Health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9" t="s">
        <v>184</v>
      </c>
      <c r="F5" s="21"/>
      <c r="G5" s="21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20">
        <f>D6</f>
        <v>100</v>
      </c>
      <c r="F6" s="20">
        <v>0</v>
      </c>
      <c r="G6" s="20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20">
        <f>D7+E6</f>
        <v>200</v>
      </c>
      <c r="F7" s="20">
        <f>E6</f>
        <v>100</v>
      </c>
      <c r="G7" s="20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20">
        <f t="shared" ref="E8:E34" si="0">D8+E7</f>
        <v>300</v>
      </c>
      <c r="F8" s="20">
        <f t="shared" ref="F8:F34" si="1">E7</f>
        <v>200</v>
      </c>
      <c r="G8" s="20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20">
        <f t="shared" si="0"/>
        <v>800</v>
      </c>
      <c r="F9" s="20">
        <f t="shared" si="1"/>
        <v>300</v>
      </c>
      <c r="G9" s="20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20">
        <f t="shared" si="0"/>
        <v>1300</v>
      </c>
      <c r="F10" s="20">
        <f t="shared" si="1"/>
        <v>800</v>
      </c>
      <c r="G10" s="20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20">
        <f t="shared" si="0"/>
        <v>1550</v>
      </c>
      <c r="F11" s="20">
        <f t="shared" si="1"/>
        <v>1300</v>
      </c>
      <c r="G11" s="20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20">
        <f t="shared" si="0"/>
        <v>1630</v>
      </c>
      <c r="F12" s="20">
        <f t="shared" si="1"/>
        <v>1550</v>
      </c>
      <c r="G12" s="20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20">
        <f t="shared" si="0"/>
        <v>1710</v>
      </c>
      <c r="F13" s="20">
        <f t="shared" si="1"/>
        <v>1630</v>
      </c>
      <c r="G13" s="20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20">
        <f t="shared" si="0"/>
        <v>1790</v>
      </c>
      <c r="F14" s="20">
        <f t="shared" si="1"/>
        <v>1710</v>
      </c>
      <c r="G14" s="20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20">
        <f t="shared" si="0"/>
        <v>1870</v>
      </c>
      <c r="F15" s="20">
        <f t="shared" si="1"/>
        <v>1790</v>
      </c>
      <c r="G15" s="20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20">
        <f t="shared" si="0"/>
        <v>1950</v>
      </c>
      <c r="F16" s="20">
        <f t="shared" si="1"/>
        <v>1870</v>
      </c>
      <c r="G16" s="20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20">
        <f t="shared" si="0"/>
        <v>2030</v>
      </c>
      <c r="F17" s="20">
        <f t="shared" si="1"/>
        <v>1950</v>
      </c>
      <c r="G17" s="20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20">
        <f t="shared" si="0"/>
        <v>2110</v>
      </c>
      <c r="F18" s="20">
        <f t="shared" si="1"/>
        <v>2030</v>
      </c>
      <c r="G18" s="20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20">
        <f t="shared" si="0"/>
        <v>2190</v>
      </c>
      <c r="F19" s="20">
        <f t="shared" si="1"/>
        <v>2110</v>
      </c>
      <c r="G19" s="20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20">
        <f t="shared" si="0"/>
        <v>2270</v>
      </c>
      <c r="F20" s="20">
        <f t="shared" si="1"/>
        <v>2190</v>
      </c>
      <c r="G20" s="20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20">
        <f t="shared" si="0"/>
        <v>2350</v>
      </c>
      <c r="F21" s="20">
        <f t="shared" si="1"/>
        <v>2270</v>
      </c>
      <c r="G21" s="20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20">
        <f t="shared" si="0"/>
        <v>2400</v>
      </c>
      <c r="F22" s="20">
        <f t="shared" si="1"/>
        <v>2350</v>
      </c>
      <c r="G22" s="20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20">
        <f t="shared" si="0"/>
        <v>2450</v>
      </c>
      <c r="F23" s="20">
        <f t="shared" si="1"/>
        <v>2400</v>
      </c>
      <c r="G23" s="20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20">
        <f t="shared" si="0"/>
        <v>2500</v>
      </c>
      <c r="F24" s="20">
        <f t="shared" si="1"/>
        <v>2450</v>
      </c>
      <c r="G24" s="20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20">
        <f t="shared" si="0"/>
        <v>2580</v>
      </c>
      <c r="F25" s="20">
        <f t="shared" si="1"/>
        <v>2500</v>
      </c>
      <c r="G25" s="20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20">
        <f t="shared" si="0"/>
        <v>2660</v>
      </c>
      <c r="F26" s="20">
        <f t="shared" si="1"/>
        <v>2580</v>
      </c>
      <c r="G26" s="20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20">
        <f t="shared" si="0"/>
        <v>2740</v>
      </c>
      <c r="F27" s="20">
        <f t="shared" si="1"/>
        <v>2660</v>
      </c>
      <c r="G27" s="20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20">
        <f t="shared" si="0"/>
        <v>2820</v>
      </c>
      <c r="F28" s="20">
        <f t="shared" si="1"/>
        <v>2740</v>
      </c>
      <c r="G28" s="20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20">
        <f t="shared" si="0"/>
        <v>2900</v>
      </c>
      <c r="F29" s="20">
        <f t="shared" si="1"/>
        <v>2820</v>
      </c>
      <c r="G29" s="20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20">
        <f t="shared" si="0"/>
        <v>2980</v>
      </c>
      <c r="F30" s="20">
        <f t="shared" si="1"/>
        <v>2900</v>
      </c>
      <c r="G30" s="20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20">
        <f t="shared" si="0"/>
        <v>3060</v>
      </c>
      <c r="F31" s="20">
        <f t="shared" si="1"/>
        <v>2980</v>
      </c>
      <c r="G31" s="20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20">
        <f t="shared" si="0"/>
        <v>3140</v>
      </c>
      <c r="F32" s="20">
        <f t="shared" si="1"/>
        <v>3060</v>
      </c>
      <c r="G32" s="20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20">
        <f t="shared" si="0"/>
        <v>3220</v>
      </c>
      <c r="F33" s="20">
        <f t="shared" si="1"/>
        <v>3140</v>
      </c>
      <c r="G33" s="20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20">
        <f t="shared" si="0"/>
        <v>3300</v>
      </c>
      <c r="F34" s="20">
        <f t="shared" si="1"/>
        <v>3220</v>
      </c>
      <c r="G34" s="20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5" sqref="E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2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1710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0" x14ac:dyDescent="0.25">
      <c r="A6" t="s">
        <v>49</v>
      </c>
      <c r="B6" s="8">
        <f>SUMIFS($F:$F,$A:$A,B$5,$B:$B,$A$6)</f>
        <v>6.8181818181818183</v>
      </c>
      <c r="C6" s="8">
        <f t="shared" ref="C6:E6" si="0">SUMIFS($F:$F,$A:$A,C$5,$B:$B,$A$6)</f>
        <v>11.111111111111111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3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150</v>
      </c>
      <c r="D24" s="8">
        <f>$C24/LOOKUP($A24,'STAT COSTS'!$A:$A,'STAT COSTS'!$B:$B)</f>
        <v>6.8181818181818183</v>
      </c>
      <c r="F24" s="8">
        <f t="shared" si="1"/>
        <v>6.8181818181818183</v>
      </c>
    </row>
    <row r="25" spans="1:6" x14ac:dyDescent="0.25">
      <c r="A25" t="s">
        <v>6</v>
      </c>
      <c r="B25" t="s">
        <v>49</v>
      </c>
      <c r="C25">
        <v>100</v>
      </c>
      <c r="D25" s="8">
        <f>$C25/LOOKUP($A25,'STAT COSTS'!$A:$A,'STAT COSTS'!$B:$B)</f>
        <v>11.111111111111111</v>
      </c>
      <c r="F25" s="8">
        <f t="shared" si="1"/>
        <v>11.111111111111111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4">
        <f t="shared" si="1"/>
        <v>0.57499999999999996</v>
      </c>
    </row>
    <row r="29" spans="1:6" x14ac:dyDescent="0.25">
      <c r="A29" t="s">
        <v>5</v>
      </c>
      <c r="B29" t="s">
        <v>67</v>
      </c>
      <c r="C29">
        <v>20</v>
      </c>
      <c r="D29" s="8">
        <f>$C29/LOOKUP($A29,'STAT COSTS'!$A:$A,'STAT COSTS'!$B:$B)</f>
        <v>0.90909090909090906</v>
      </c>
      <c r="F29" s="8">
        <f>D29+E29</f>
        <v>0.90909090909090906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>D30+E30</f>
        <v>2.2222222222222223</v>
      </c>
    </row>
    <row r="31" spans="1:6" x14ac:dyDescent="0.25">
      <c r="A31" t="s">
        <v>5</v>
      </c>
      <c r="B31" t="s">
        <v>68</v>
      </c>
      <c r="D31" s="8">
        <f>0</f>
        <v>0</v>
      </c>
      <c r="F31" s="8">
        <f>D31+E31</f>
        <v>0</v>
      </c>
    </row>
    <row r="32" spans="1:6" x14ac:dyDescent="0.25">
      <c r="A32" t="s">
        <v>6</v>
      </c>
      <c r="B32" t="s">
        <v>68</v>
      </c>
      <c r="D32" s="8">
        <f>0</f>
        <v>0</v>
      </c>
      <c r="E32" s="8">
        <v>20</v>
      </c>
      <c r="F32" s="8">
        <f>D32+E32</f>
        <v>20</v>
      </c>
    </row>
    <row r="33" spans="1:6" x14ac:dyDescent="0.25">
      <c r="A33" t="s">
        <v>7</v>
      </c>
      <c r="B33" t="s">
        <v>68</v>
      </c>
      <c r="D33" s="8">
        <f>0</f>
        <v>0</v>
      </c>
      <c r="F33" s="8">
        <f>D33+E33</f>
        <v>0</v>
      </c>
    </row>
    <row r="34" spans="1:6" x14ac:dyDescent="0.25">
      <c r="A34" t="s">
        <v>120</v>
      </c>
      <c r="B34" t="s">
        <v>68</v>
      </c>
      <c r="D34" s="8">
        <f>0</f>
        <v>0</v>
      </c>
      <c r="E34" s="8">
        <v>1</v>
      </c>
      <c r="F34" s="8">
        <f>D34+E34</f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E24" sqref="E24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2" t="s">
        <v>1</v>
      </c>
    </row>
    <row r="3" spans="1:15" x14ac:dyDescent="0.25">
      <c r="A3" t="s">
        <v>51</v>
      </c>
      <c r="B3">
        <v>21</v>
      </c>
      <c r="C3">
        <f>SUM(C9:C102)+SUM(J9:J102)</f>
        <v>1030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2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1.5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2" t="s">
        <v>122</v>
      </c>
      <c r="J8" s="12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44.1</v>
      </c>
      <c r="F15" s="8">
        <f t="shared" si="1"/>
        <v>64.099999999999994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100</v>
      </c>
      <c r="D27" s="8">
        <f>$C27/LOOKUP($A27,'STAT COSTS'!$A:$A,'STAT COSTS'!$B:$B)</f>
        <v>0.5</v>
      </c>
      <c r="E27">
        <v>1</v>
      </c>
      <c r="F27" s="8">
        <f t="shared" si="1"/>
        <v>1.5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>D29+E29</f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>D30+E30</f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>D31+E31</f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>D32+E32</f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>D33+E33</f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2"/>
  <sheetViews>
    <sheetView workbookViewId="0">
      <selection activeCell="E12" sqref="E12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10" t="s">
        <v>95</v>
      </c>
      <c r="D2" s="10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3"/>
  <sheetViews>
    <sheetView workbookViewId="0">
      <selection activeCell="D22" sqref="D22"/>
    </sheetView>
  </sheetViews>
  <sheetFormatPr defaultRowHeight="15" x14ac:dyDescent="0.25"/>
  <cols>
    <col min="1" max="1" width="22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2</v>
      </c>
      <c r="B14">
        <v>10</v>
      </c>
    </row>
    <row r="15" spans="1:2" x14ac:dyDescent="0.25">
      <c r="A15" t="s">
        <v>11</v>
      </c>
      <c r="B15">
        <v>11</v>
      </c>
    </row>
    <row r="16" spans="1:2" x14ac:dyDescent="0.25">
      <c r="A16" t="s">
        <v>12</v>
      </c>
      <c r="B16">
        <v>4</v>
      </c>
    </row>
    <row r="17" spans="1:2" x14ac:dyDescent="0.25">
      <c r="A17" t="s">
        <v>124</v>
      </c>
      <c r="B17">
        <v>1000</v>
      </c>
    </row>
    <row r="18" spans="1:2" x14ac:dyDescent="0.25">
      <c r="A18" t="s">
        <v>21</v>
      </c>
      <c r="B18">
        <v>18</v>
      </c>
    </row>
    <row r="19" spans="1:2" x14ac:dyDescent="0.25">
      <c r="A19" t="s">
        <v>22</v>
      </c>
      <c r="B19">
        <v>8</v>
      </c>
    </row>
    <row r="20" spans="1:2" x14ac:dyDescent="0.25">
      <c r="A20" t="s">
        <v>15</v>
      </c>
      <c r="B20">
        <v>18</v>
      </c>
    </row>
    <row r="21" spans="1:2" x14ac:dyDescent="0.25">
      <c r="A21" t="s">
        <v>16</v>
      </c>
      <c r="B21">
        <v>10</v>
      </c>
    </row>
    <row r="22" spans="1:2" x14ac:dyDescent="0.25">
      <c r="A22" t="s">
        <v>17</v>
      </c>
      <c r="B22">
        <v>15</v>
      </c>
    </row>
    <row r="23" spans="1:2" x14ac:dyDescent="0.25">
      <c r="A23" t="s">
        <v>18</v>
      </c>
      <c r="B23">
        <v>50</v>
      </c>
    </row>
  </sheetData>
  <sortState xmlns:xlrd2="http://schemas.microsoft.com/office/spreadsheetml/2017/richdata2" ref="A4:B23">
    <sortCondition ref="A4:A2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2024-12-06T03:10:12Z</dcterms:modified>
</cp:coreProperties>
</file>
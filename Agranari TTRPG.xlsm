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3E30268A-D203-4227-B089-C93FF5B1C6C6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1" i="5" l="1"/>
  <c r="J24" i="5"/>
  <c r="J27" i="5"/>
  <c r="J23" i="5"/>
  <c r="J26" i="5"/>
  <c r="J25" i="5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H11" i="19" l="1"/>
  <c r="H12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H8" i="5" s="1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<sst xmlns="http://schemas.openxmlformats.org/spreadsheetml/2006/main" count="618" uniqueCount="193">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</sst>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19050</xdr:rowOff>
        </xdr:from>
        <xdr:to>
          <xdr:col>6</xdr:col>
          <xdr:colOff>190500</xdr:colOff>
          <xdr:row>6</xdr:row>
          <xdr:rowOff>9525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146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143</v>
      </c>
      <c r="D3" s="1" t="s">
        <v>64</v>
      </c>
      <c r="E3" s="1" t="s">
        <v>141</v>
      </c>
      <c r="F3" s="1" t="s">
        <v>142</v>
      </c>
      <c r="G3" s="1" t="s">
        <v>144</v>
      </c>
      <c r="K3" s="1" t="s">
        <v>145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O16" sqref="O16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Q1"/>
      <c r="R1"/>
      <c r="X1"/>
    </row>
    <row r="2" spans="1:24" x14ac:dyDescent="0.25">
      <c r="M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138</v>
      </c>
      <c r="N3" s="1" t="s">
        <v>128</v>
      </c>
      <c r="O3" s="1" t="s">
        <v>129</v>
      </c>
      <c r="P3" s="1" t="s">
        <v>50</v>
      </c>
      <c r="Q3" s="1" t="s">
        <v>139</v>
      </c>
      <c r="R3" s="1" t="s">
        <v>140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136</v>
      </c>
      <c r="G4" s="7" t="s">
        <v>189</v>
      </c>
      <c r="H4" s="7" t="s">
        <v>127</v>
      </c>
      <c r="I4" s="7" t="s">
        <v>54</v>
      </c>
      <c r="J4" s="2"/>
      <c r="K4" s="2"/>
      <c r="P4" s="8"/>
    </row>
    <row r="5" spans="1:24" x14ac:dyDescent="0.25">
      <c r="A5" s="15" t="e">
        <f>LOOKUP(MAX(M:M),M:M,N:N)</f>
        <v>#N/A</v>
      </c>
      <c r="B5" s="10" t="s">
        <v>8</v>
      </c>
      <c r="C5" s="5" t="e" cm="1">
        <f t="array" aca="1" ref="C5" ca="1">INDIRECT("'"&amp;LOOKUP($A5,$A$18:$A$27,$B$18:$B$27)&amp;"'!B6")-SUMIFS(X:X,T:T,$A5,W:W,"Accuracy")</f>
        <v>#N/A</v>
      </c>
      <c r="D5" s="6"/>
      <c r="E5" s="5">
        <v>10.191241833898756</v>
      </c>
      <c r="F5" s="19">
        <v>3</v>
      </c>
      <c r="G5" s="5" t="e" cm="1">
        <f t="array" aca="1" ref="G5" ca="1">F5*MAX(0,INDIRECT("'"&amp;LOOKUP($A5,$A$18:$A$27,$B$18:$B$27)&amp;"'!F23")-SUMIFS(X:X,T:T,$A5,W:W,"Willpower Factor"))</f>
        <v>#N/A</v>
      </c>
      <c r="H5" s="5">
        <v>1</v>
      </c>
      <c r="I5" s="12" t="e">
        <f ca="1">SUM(C5:E5,G5)*H5</f>
        <v>#N/A</v>
      </c>
      <c r="J5" s="3"/>
      <c r="K5" s="2"/>
      <c r="P5" s="8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P6" s="8"/>
    </row>
    <row r="7" spans="1:24" x14ac:dyDescent="0.25">
      <c r="A7" s="15" t="e">
        <f>LOOKUP(MAX(M:M),M:M,O:O)</f>
        <v>#N/A</v>
      </c>
      <c r="B7" s="10" t="s">
        <v>9</v>
      </c>
      <c r="C7" s="5" t="e" cm="1">
        <f t="array" aca="1" ref="C7" ca="1">INDIRECT("'"&amp;LOOKUP($A7,$A$18:$A$27,$B$18:$B$27)&amp;"'!F14")-SUMIFS(X:X,T:T,$A7,W:W,B7)</f>
        <v>#N/A</v>
      </c>
      <c r="D7" s="6"/>
      <c r="E7" s="5">
        <v>17.656335055828094</v>
      </c>
      <c r="F7" s="19">
        <v>1</v>
      </c>
      <c r="G7" s="5" t="e" cm="1">
        <f t="array" aca="1" ref="G7" ca="1">F7*MAX(0,INDIRECT("'"&amp;LOOKUP($A7,$A$18:$A$27,$B$18:$B$27)&amp;"'!F23")-SUMIFS(X:X,T:T,$A7,W:W,"Willpower Factor"))</f>
        <v>#N/A</v>
      </c>
      <c r="H7" s="5">
        <v>1</v>
      </c>
      <c r="I7" s="12" t="e">
        <f ca="1">SUM(C7:E7,G7)*H7</f>
        <v>#N/A</v>
      </c>
      <c r="J7" s="3"/>
      <c r="K7" s="2"/>
      <c r="P7" s="8"/>
    </row>
    <row r="8" spans="1:24" x14ac:dyDescent="0.25">
      <c r="A8" s="2" t="e">
        <f>A5</f>
        <v>#N/A</v>
      </c>
      <c r="B8" s="10" t="s">
        <v>50</v>
      </c>
      <c r="C8" s="5" t="e" cm="1">
        <f t="array" aca="1" ref="C8" ca="1">INDIRECT("'"&amp;LOOKUP($A8,$A$18:$A$27,$B$18:$B$27)&amp;"'!D6")-SUMIFS(X:X,T:T,$A8,W:W,B8)</f>
        <v>#N/A</v>
      </c>
      <c r="D8" s="6"/>
      <c r="E8" s="5">
        <v>17.385558485984802</v>
      </c>
      <c r="F8" s="19">
        <v>4</v>
      </c>
      <c r="G8" s="5" t="e" cm="1">
        <f t="array" aca="1" ref="G8" ca="1">F8*MAX(0,INDIRECT("'"&amp;LOOKUP($A8,$A$18:$A$27,$B$18:$B$27)&amp;"'!F23")-SUMIFS(X:X,T:T,$A8,W:W,"Willpower Factor"))</f>
        <v>#N/A</v>
      </c>
      <c r="H8" s="5" t="e" cm="1">
        <f t="array" aca="1" ref="H8" ca="1">IF(I5&gt;I7*2,MAX(1,INDIRECT("'"&amp;LOOKUP($A8,$A$18:$A$27,$B$18:$B$27)&amp;"'!F6")-SUMIFS(X:X,T:T,$A8,W:W,"Crit Factor")),1)</f>
        <v>#N/A</v>
      </c>
      <c r="I8" s="12" t="e">
        <f ca="1">IF(I5&gt;I7,SUM(C8:E8,G8)*H8,0)</f>
        <v>#N/A</v>
      </c>
      <c r="J8" s="3"/>
      <c r="K8" s="2"/>
      <c r="P8" s="8"/>
    </row>
    <row r="9" spans="1:24" x14ac:dyDescent="0.25">
      <c r="A9" s="2" t="e">
        <f>A7</f>
        <v>#N/A</v>
      </c>
      <c r="B9" s="10" t="s">
        <v>131</v>
      </c>
      <c r="C9" s="5"/>
      <c r="D9" s="5"/>
      <c r="E9" s="5"/>
      <c r="F9" s="20"/>
      <c r="G9" s="5" t="e" cm="1">
        <f t="array" aca="1" ref="G9" ca="1">F9*MAX(0,INDIRECT("'"&amp;LOOKUP($A9,$A$18:$A$27,$B$18:$B$27)&amp;"'!F23")-SUMIFS(X:X,T:T,$A9,W:W,"Willpower Factor"))</f>
        <v>#N/A</v>
      </c>
      <c r="H9" s="5" t="e" cm="1">
        <f t="array" aca="1" ref="H9" ca="1">100/(100+INDIRECT("'"&amp;LOOKUP($A9,$A$18:$A$27,$B$18:$B$27)&amp;"'!G6"))</f>
        <v>#N/A</v>
      </c>
      <c r="I9" s="13" t="e">
        <f ca="1">IF(I5&gt;I7,I8*(H9),0)</f>
        <v>#N/A</v>
      </c>
      <c r="J9" s="3" t="e">
        <f ca="1">IF(I5&gt;I7*2, "CRIT!",IF(I5&gt;I7,"HIT","miss"))</f>
        <v>#N/A</v>
      </c>
      <c r="K9" s="2"/>
      <c r="P9" s="8"/>
    </row>
    <row r="10" spans="1:24" x14ac:dyDescent="0.25">
      <c r="A10" s="2" t="e">
        <f>A7</f>
        <v>#N/A</v>
      </c>
      <c r="B10" s="10" t="s">
        <v>13</v>
      </c>
      <c r="C10" s="5" t="e" cm="1">
        <f t="array" aca="1" ref="C10" ca="1">MAX(0,INDIRECT("'"&amp;LOOKUP($A10,$A$18:$A$27,$B$18:$B$27)&amp;"'!F16")-SUMIFS(X:X,T:T,$A10,W:W,B10))</f>
        <v>#N/A</v>
      </c>
      <c r="D10" s="6"/>
      <c r="E10" s="5">
        <v>4.6185212969779972</v>
      </c>
      <c r="F10" s="19">
        <v>1</v>
      </c>
      <c r="G10" s="5" t="e" cm="1">
        <f t="array" aca="1" ref="G10" ca="1">F10*MAX(0,INDIRECT("'"&amp;LOOKUP($A10,$A$18:$A$27,$B$18:$B$27)&amp;"'!F23")-SUMIFS(X:X,T:T,$A10,W:W,"Willpower Factor"))</f>
        <v>#N/A</v>
      </c>
      <c r="H10" s="5">
        <v>1</v>
      </c>
      <c r="I10" s="12" t="e">
        <f ca="1">SUM(C10:E10,G10)*H10</f>
        <v>#N/A</v>
      </c>
      <c r="J10" s="3" t="e">
        <f ca="1">IF(I9&gt;I10,"WOUNDED","")</f>
        <v>#N/A</v>
      </c>
      <c r="K10" s="2"/>
      <c r="P10" s="8"/>
    </row>
    <row r="11" spans="1:24" x14ac:dyDescent="0.25">
      <c r="A11" s="2" t="e">
        <f>A7</f>
        <v>#N/A</v>
      </c>
      <c r="B11" s="10" t="s">
        <v>11</v>
      </c>
      <c r="C11" s="5" t="e" cm="1">
        <f t="array" aca="1" ref="C11" ca="1">MAX(0,INDIRECT("'"&amp;LOOKUP($A11,$A$18:$A$27,$B$18:$B$27)&amp;"'!F18")-SUMIFS(X:X,T:T,$A11,W:W,B11))</f>
        <v>#N/A</v>
      </c>
      <c r="D11" s="6"/>
      <c r="E11" s="5">
        <v>3.4844800460338594</v>
      </c>
      <c r="F11" s="19">
        <v>10</v>
      </c>
      <c r="G11" s="5" t="e" cm="1">
        <f t="array" aca="1" ref="G11" ca="1">F11*MAX(0,INDIRECT("'"&amp;LOOKUP($A11,$A$18:$A$27,$B$18:$B$27)&amp;"'!F23")-SUMIFS(X:X,T:T,$A11,W:W,"Willpower Factor"))</f>
        <v>#N/A</v>
      </c>
      <c r="H11" s="5">
        <v>1</v>
      </c>
      <c r="I11" s="12" t="e">
        <f ca="1">SUM(C11:E11,G11)*H11</f>
        <v>#N/A</v>
      </c>
      <c r="J11" s="3" t="e">
        <f ca="1">IF(I9&gt;I11,"WINCED","")</f>
        <v>#N/A</v>
      </c>
      <c r="K11" s="2"/>
      <c r="P11" s="8"/>
    </row>
    <row r="12" spans="1:24" x14ac:dyDescent="0.25">
      <c r="A12" s="2" t="e">
        <f>A7</f>
        <v>#N/A</v>
      </c>
      <c r="B12" s="10" t="s">
        <v>19</v>
      </c>
      <c r="C12" s="5" t="e" cm="1">
        <f t="array" aca="1" ref="C12" ca="1">MAX(0,INDIRECT("'"&amp;LOOKUP($A12,$A$18:$A$27,$B$18:$B$27)&amp;"'!F20")-SUMIFS(X:X,T:T,$A12,W:W,B12))</f>
        <v>#N/A</v>
      </c>
      <c r="D12" s="6"/>
      <c r="E12" s="5">
        <v>1.9368502497673035</v>
      </c>
      <c r="F12" s="19">
        <v>1</v>
      </c>
      <c r="G12" s="5" t="e" cm="1">
        <f t="array" aca="1" ref="G12" ca="1">F12*MAX(0,INDIRECT("'"&amp;LOOKUP($A12,$A$18:$A$27,$B$18:$B$27)&amp;"'!F23")-SUMIFS(X:X,T:T,$A12,W:W,"Willpower Factor"))</f>
        <v>#N/A</v>
      </c>
      <c r="H12" s="5">
        <v>1</v>
      </c>
      <c r="I12" s="12" t="e">
        <f ca="1">SUM(C12:E12,G12)*H12</f>
        <v>#N/A</v>
      </c>
      <c r="J12" s="3" t="e">
        <f ca="1">IF(SUMIF(A18:A27,A12,F18:F27)-SUMIF(A18:A27,A12,E18:E27)&gt;I12,"UNCONSCIOUS","")</f>
        <v>#N/A</v>
      </c>
      <c r="K12" s="2"/>
      <c r="P12" s="8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P13" s="8"/>
    </row>
    <row r="14" spans="1:24" x14ac:dyDescent="0.25">
      <c r="P14" s="8"/>
    </row>
    <row r="15" spans="1:24" x14ac:dyDescent="0.25">
      <c r="P15" s="8"/>
    </row>
    <row r="16" spans="1:24" x14ac:dyDescent="0.25">
      <c r="P16" s="8"/>
    </row>
    <row r="17" spans="1:16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136</v>
      </c>
      <c r="H17" s="1" t="s">
        <v>137</v>
      </c>
      <c r="I17" s="1" t="s">
        <v>135</v>
      </c>
      <c r="J17" s="1" t="s">
        <v>147</v>
      </c>
      <c r="K17" s="9"/>
      <c r="L17" s="9"/>
      <c r="P17" s="8"/>
    </row>
    <row r="18" spans="1:16" x14ac:dyDescent="0.25">
      <c r="A18" t="s">
        <v>156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P18" s="8"/>
    </row>
    <row r="19" spans="1:16" x14ac:dyDescent="0.25">
      <c r="A19" t="s">
        <v>192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/>
      <c r="J19" s="8"/>
      <c r="K19" s="8"/>
      <c r="L19" s="8"/>
      <c r="P19" s="8"/>
    </row>
    <row r="20" spans="1:16" x14ac:dyDescent="0.25">
      <c r="A20" t="s">
        <v>148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/>
      <c r="J20" s="8"/>
      <c r="K20" s="8"/>
      <c r="L20" s="8"/>
      <c r="P20" s="8"/>
    </row>
    <row r="21" spans="1:16" x14ac:dyDescent="0.25">
      <c r="A21" t="s">
        <v>149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/>
      <c r="J21" s="8">
        <f>(MAX(0,100-(MAX(M:M)-0-5)*1.9))</f>
        <v>109.5</v>
      </c>
      <c r="K21" s="8"/>
      <c r="L21" s="8"/>
      <c r="P21" s="8"/>
    </row>
    <row r="22" spans="1:16" x14ac:dyDescent="0.25">
      <c r="A22" t="s">
        <v>150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/>
      <c r="J22" s="8"/>
      <c r="K22" s="8"/>
      <c r="L22" s="8"/>
      <c r="P22" s="8"/>
    </row>
    <row r="23" spans="1:16" x14ac:dyDescent="0.25">
      <c r="A23" t="s">
        <v>151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/>
      <c r="J23" s="8">
        <f>(MAX(0,100-(17-0-5)*1.9))</f>
        <v>77.2</v>
      </c>
      <c r="K23" s="8"/>
      <c r="L23" s="8"/>
      <c r="P23" s="8"/>
    </row>
    <row r="24" spans="1:16" x14ac:dyDescent="0.25">
      <c r="A24" t="s">
        <v>152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/>
      <c r="J24" s="8">
        <f>(MAX(0,100-(MAX(M:M)-0-6)*1.9))</f>
        <v>111.4</v>
      </c>
      <c r="K24" s="8"/>
      <c r="L24" s="8"/>
      <c r="P24" s="8"/>
    </row>
    <row r="25" spans="1:16" x14ac:dyDescent="0.25">
      <c r="A25" t="s">
        <v>153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/>
      <c r="J25" s="8">
        <f>(MAX(0,100-(5-0-4)*1.9))</f>
        <v>98.1</v>
      </c>
      <c r="K25" s="8"/>
      <c r="L25" s="8"/>
      <c r="P25" s="8"/>
    </row>
    <row r="26" spans="1:16" x14ac:dyDescent="0.25">
      <c r="A26" t="s">
        <v>154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/>
      <c r="J26" s="8">
        <f>(MAX(0,100-(13-0-6)*1.9))</f>
        <v>86.7</v>
      </c>
      <c r="K26" s="8"/>
      <c r="L26" s="8"/>
      <c r="P26" s="8"/>
    </row>
    <row r="27" spans="1:16" x14ac:dyDescent="0.25">
      <c r="A27" t="s">
        <v>155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/>
      <c r="J27" s="8">
        <f>(MAX(0,100-(23-0-6)*1.9))</f>
        <v>67.7</v>
      </c>
      <c r="K27" s="8"/>
      <c r="L27" s="8"/>
      <c r="P27" s="8"/>
    </row>
    <row r="28" spans="1:16" x14ac:dyDescent="0.25">
      <c r="P28" s="8"/>
    </row>
    <row r="29" spans="1:16" x14ac:dyDescent="0.25">
      <c r="P29" s="8"/>
    </row>
    <row r="30" spans="1:16" x14ac:dyDescent="0.25">
      <c r="P30" s="8"/>
    </row>
    <row r="31" spans="1:16" x14ac:dyDescent="0.25">
      <c r="P31" s="8"/>
    </row>
    <row r="32" spans="1:16" x14ac:dyDescent="0.25">
      <c r="P32" s="8"/>
    </row>
    <row r="33" spans="16:16" x14ac:dyDescent="0.25">
      <c r="P33" s="8"/>
    </row>
    <row r="34" spans="16:16" x14ac:dyDescent="0.25">
      <c r="P34" s="8"/>
    </row>
    <row r="35" spans="16:16" x14ac:dyDescent="0.25">
      <c r="P35" s="8"/>
    </row>
    <row r="36" spans="16:16" x14ac:dyDescent="0.25">
      <c r="P36" s="8"/>
    </row>
    <row r="37" spans="16:16" x14ac:dyDescent="0.25">
      <c r="P37" s="8"/>
    </row>
    <row r="38" spans="16:16" x14ac:dyDescent="0.25">
      <c r="P38" s="8"/>
    </row>
    <row r="39" spans="16:16" x14ac:dyDescent="0.25">
      <c r="P39" s="8"/>
    </row>
    <row r="40" spans="16:16" x14ac:dyDescent="0.25">
      <c r="P40" s="8"/>
    </row>
    <row r="41" spans="16:16" x14ac:dyDescent="0.25">
      <c r="P41" s="8"/>
    </row>
    <row r="42" spans="16:16" x14ac:dyDescent="0.25">
      <c r="P42" s="8"/>
    </row>
    <row r="43" spans="16:16" x14ac:dyDescent="0.25">
      <c r="P43" s="8"/>
    </row>
    <row r="44" spans="16:16" x14ac:dyDescent="0.25">
      <c r="P44" s="8"/>
    </row>
    <row r="45" spans="16:16" x14ac:dyDescent="0.25">
      <c r="P45" s="8"/>
    </row>
    <row r="46" spans="16:16" x14ac:dyDescent="0.25">
      <c r="P46" s="8"/>
    </row>
    <row r="47" spans="16:16" x14ac:dyDescent="0.25">
      <c r="P47" s="8"/>
    </row>
    <row r="48" spans="16:16" x14ac:dyDescent="0.25">
      <c r="P48" s="8"/>
    </row>
    <row r="49" spans="16:16" x14ac:dyDescent="0.25">
      <c r="P49" s="8"/>
    </row>
    <row r="50" spans="16:16" x14ac:dyDescent="0.25">
      <c r="P50" s="8"/>
    </row>
    <row r="51" spans="16:16" x14ac:dyDescent="0.25">
      <c r="P51" s="8"/>
    </row>
    <row r="52" spans="16:16" x14ac:dyDescent="0.25">
      <c r="P52" s="8"/>
    </row>
    <row r="53" spans="16:16" x14ac:dyDescent="0.25">
      <c r="P53" s="8"/>
    </row>
    <row r="54" spans="16:16" x14ac:dyDescent="0.25">
      <c r="P54" s="8"/>
    </row>
    <row r="55" spans="16:16" hidden="1" x14ac:dyDescent="0.25">
      <c r="P55" s="8"/>
    </row>
    <row r="56" spans="16:16" hidden="1" x14ac:dyDescent="0.25">
      <c r="P56" s="8"/>
    </row>
    <row r="57" spans="16:16" hidden="1" x14ac:dyDescent="0.25">
      <c r="P57" s="8"/>
    </row>
    <row r="58" spans="16:16" hidden="1" x14ac:dyDescent="0.25">
      <c r="P58" s="8"/>
    </row>
    <row r="59" spans="16:16" hidden="1" x14ac:dyDescent="0.25">
      <c r="P59" s="8"/>
    </row>
    <row r="60" spans="16:16" hidden="1" x14ac:dyDescent="0.25">
      <c r="P60" s="8"/>
    </row>
    <row r="61" spans="16:16" hidden="1" x14ac:dyDescent="0.25">
      <c r="P61" s="8"/>
    </row>
    <row r="62" spans="16:16" hidden="1" x14ac:dyDescent="0.25">
      <c r="P62" s="8"/>
    </row>
    <row r="63" spans="16:16" hidden="1" x14ac:dyDescent="0.25"/>
    <row r="64" spans="16:16" hidden="1" x14ac:dyDescent="0.25"/>
    <row r="65" spans="16:18" hidden="1" x14ac:dyDescent="0.25">
      <c r="P65" s="8"/>
    </row>
    <row r="66" spans="16:18" hidden="1" x14ac:dyDescent="0.25">
      <c r="P66" s="8"/>
    </row>
    <row r="67" spans="16:18" hidden="1" x14ac:dyDescent="0.25">
      <c r="P67" s="8"/>
      <c r="Q67"/>
      <c r="R67"/>
    </row>
    <row r="68" spans="16:18" hidden="1" x14ac:dyDescent="0.25"/>
    <row r="69" spans="16:18" hidden="1" x14ac:dyDescent="0.25"/>
    <row r="70" spans="16:18" hidden="1" x14ac:dyDescent="0.25">
      <c r="P70" s="8"/>
    </row>
    <row r="71" spans="16:18" hidden="1" x14ac:dyDescent="0.25">
      <c r="P71" s="8"/>
    </row>
    <row r="72" spans="16:18" hidden="1" x14ac:dyDescent="0.25">
      <c r="P72" s="8"/>
    </row>
    <row r="73" spans="16:18" hidden="1" x14ac:dyDescent="0.25"/>
    <row r="74" spans="16:18" hidden="1" x14ac:dyDescent="0.25"/>
    <row r="75" spans="16:18" hidden="1" x14ac:dyDescent="0.25">
      <c r="P75" s="8"/>
    </row>
    <row r="76" spans="16:18" hidden="1" x14ac:dyDescent="0.25">
      <c r="P76" s="8"/>
    </row>
    <row r="77" spans="16:18" hidden="1" x14ac:dyDescent="0.25">
      <c r="P77" s="8"/>
    </row>
    <row r="78" spans="16:18" hidden="1" x14ac:dyDescent="0.25"/>
    <row r="79" spans="16:18" hidden="1" x14ac:dyDescent="0.25"/>
    <row r="80" spans="16:18" hidden="1" x14ac:dyDescent="0.25">
      <c r="P80" s="8"/>
    </row>
    <row r="81" spans="16:16" hidden="1" x14ac:dyDescent="0.25">
      <c r="P81" s="8"/>
    </row>
    <row r="82" spans="16:16" x14ac:dyDescent="0.25">
      <c r="P82" s="8"/>
    </row>
    <row r="85" spans="16:16" x14ac:dyDescent="0.25">
      <c r="P85" s="8"/>
    </row>
    <row r="86" spans="16:16" x14ac:dyDescent="0.25">
      <c r="P86" s="8"/>
    </row>
    <row r="87" spans="16:16" x14ac:dyDescent="0.25">
      <c r="P87" s="8"/>
    </row>
    <row r="109" spans="17:18" x14ac:dyDescent="0.25">
      <c r="Q109"/>
      <c r="R109"/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T4:T1048576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6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2121.8261665506616</v>
      </c>
      <c r="B1">
        <f ca="1">SUMIFS(G:G,E:E,"&gt;="&amp;A1,F:F,"&lt;"&amp;A1)</f>
        <v>13</v>
      </c>
      <c r="E1"/>
    </row>
    <row r="3" spans="1:7" x14ac:dyDescent="0.25">
      <c r="A3" t="str">
        <f ca="1">LOOKUP($B$1,$G:$G,A:A)</f>
        <v>Elbow</v>
      </c>
      <c r="B3" t="str">
        <f ca="1">LOOKUP($B$1,$G:$G,B:B)</f>
        <v>Right</v>
      </c>
      <c r="C3" t="str">
        <f ca="1">LOOKUP($B$1,$G:$G,C:C)</f>
        <v>Speed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C25" sqref="C2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7.7272727272727275</v>
      </c>
      <c r="C6" s="8">
        <f t="shared" ref="C6:E6" si="0">SUMIFS($F:$F,$A:$A,C$5,$B:$B,$A$6)</f>
        <v>33.333333333333336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  <c r="H11">
        <f ca="1">F10+RAND()*F11</f>
        <v>36.921058831542688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  <c r="H12">
        <f ca="1">H11*F28</f>
        <v>14.768423532617076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190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190</v>
      </c>
      <c r="C25">
        <v>300</v>
      </c>
      <c r="D25" s="8">
        <f>$C25/LOOKUP($A25,'STAT COSTS'!$A:$A,'STAT COSTS'!$B:$B)</f>
        <v>33.333333333333336</v>
      </c>
      <c r="F25" s="8">
        <f t="shared" si="1"/>
        <v>33.333333333333336</v>
      </c>
    </row>
    <row r="26" spans="1:6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191</v>
      </c>
      <c r="B28" t="s">
        <v>190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1"/>
        <v>0.4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C28" sqref="C28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C14" sqref="C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191</v>
      </c>
      <c r="B14">
        <v>500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2024-12-07T03:19:45Z</dcterms:modified>
</cp:coreProperties>
</file>
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CD5D9893-51A9-488A-A318-B8810AE60A99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9" l="1"/>
  <c r="F29" i="19" s="1"/>
  <c r="D30" i="19"/>
  <c r="F30" i="19" s="1"/>
  <c r="J28" i="5" l="1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3" i="19" l="1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J9" i="5" s="1"/>
  <c r="H8" i="5" a="1"/>
  <c r="H8" i="5" l="1"/>
  <c r="I8" i="5" s="1"/>
  <c r="I9" i="5" s="1"/>
  <c r="J10" i="5" l="1"/>
  <c r="J11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<sst xmlns="http://schemas.openxmlformats.org/spreadsheetml/2006/main" count="638" uniqueCount="198">
  <si>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</si>
  <si>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</si>
  <si>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</si>
  <si>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</si>
  <si>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</si>
  <si>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</si>
  <si>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</si>
  <si>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</si>
  <si>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</si>
  <si>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</si>
  <si>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</si>
  <si>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</si>
  <si>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</si>
  <si>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</si>
  <si>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</si>
  <si>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</si>
  <si>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</si>
  <si>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</si>
  <si>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</si>
  <si>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</si>
  <si>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</si>
  <si>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</si>
  <si>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</si>
  <si>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</si>
  <si>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</si>
  <si>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</si>
  <si>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</si>
  <si>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</si>
  <si>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</si>
  <si>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</si>
  <si>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</si>
  <si>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</si>
  <si>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</si>
  <si>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</si>
  <si>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</si>
  <si>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</si>
  <si>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</si>
  <si>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</si>
  <si>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</si>
  <si>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</si>
  <si>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</si>
  <si>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</si>
  <si>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</si>
  <si>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</si>
  <si>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</si>
  <si>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</si>
  <si>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</si>
  <si>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</si>
  <si>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</si>
  <si>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</si>
  <si>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</si>
  <si>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</si>
  <si>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</si>
  <si>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</si>
  <si>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</si>
  <si>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</si>
  <si>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</si>
  <si>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</si>
  <si>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</si>
  <si>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</si>
  <si>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</si>
  <si>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</si>
  <si>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</si>
  <si>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</si>
  <si>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</si>
  <si>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</si>
  <si>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</si>
  <si>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</si>
  <si>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</si>
  <si>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</si>
  <si>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</si>
  <si>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</si>
  <si>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</si>
  <si>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</si>
  <si>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</si>
  <si>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</si>
  <si>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</si>
  <si>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</si>
  <si>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</si>
  <si>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</si>
  <si>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</si>
  <si>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</si>
  <si>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</si>
  <si>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</si>
  <si>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</si>
  <si>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</si>
  <si>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</si>
  <si>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</si>
  <si>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</si>
  <si>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</si>
  <si>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</si>
  <si>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</si>
  <si>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</si>
  <si>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</si>
  <si>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</si>
  <si>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</si>
  <si>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</si>
  <si>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</si>
  <si>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</si>
  <si>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</si>
  <si>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</si>
  <si>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</si>
  <si>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</si>
  <si>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</si>
  <si>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</si>
  <si>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</si>
  <si>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</si>
  <si>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</si>
  <si>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</si>
  <si>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</si>
  <si>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</si>
  <si>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</si>
  <si>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</si>
  <si>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</si>
  <si>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</si>
  <si>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</si>
  <si>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</si>
  <si>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</si>
  <si>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</si>
  <si>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</si>
  <si>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</si>
  <si>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</si>
  <si>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</si>
  <si>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</si>
  <si>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</si>
  <si>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</si>
  <si>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</si>
  <si>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</si>
  <si>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</si>
  <si>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</si>
  <si>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</si>
  <si>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</si>
  <si>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</si>
  <si>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</si>
  <si>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</si>
  <si>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</si>
  <si>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</si>
  <si>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</si>
  <si>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</si>
  <si>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</si>
  <si>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</si>
  <si>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</si>
  <si>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</si>
  <si>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</si>
  <si>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</si>
  <si>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</si>
  <si>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</si>
  <si>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</si>
  <si>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</si>
  <si>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</si>
  <si>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</si>
  <si>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</si>
  <si>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</si>
  <si>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</si>
  <si>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</si>
  <si>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</si>
  <si>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</si>
  <si>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</si>
  <si>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</si>
  <si>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</si>
  <si>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</si>
  <si>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</si>
  <si>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</si>
  <si>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</si>
  <si>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</si>
  <si>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</si>
  <si>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</si>
  <si>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</si>
  <si>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</si>
  <si>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</si>
  <si>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</si>
  <si>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</si>
  <si>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</si>
  <si>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</si>
  <si>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</si>
  <si>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</si>
  <si>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</si>
  <si>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</si>
  <si>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</si>
  <si>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</si>
  <si>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</si>
  <si>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</si>
  <si>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</si>
  <si>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</si>
  <si>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</si>
  <si>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</si>
  <si>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</si>
  <si>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</si>
  <si>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</si>
  <si>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</si>
  <si>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</si>
  <si>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</si>
  <si>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</si>
  <si>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</si>
  <si>
    <t>Area Attacker</t>
  </si>
  <si>
    <t>Area Bonus Damage</t>
  </si>
  <si>
    <t>Area Bonus Damage Variance</t>
  </si>
  <si>
    <t>(15 + d74) x0.4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</si>
</sst>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2597</xdr:colOff>
          <xdr:row>13</xdr:row>
          <xdr:rowOff>163657</xdr:rowOff>
        </xdr:from>
        <xdr:to>
          <xdr:col>6</xdr:col>
          <xdr:colOff>8659</xdr:colOff>
          <xdr:row>15</xdr:row>
          <xdr:rowOff>1732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4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G15" sqref="G15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</row>
    <row r="5" spans="1:24" x14ac:dyDescent="0.25">
      <c r="A5" s="15" t="e">
        <f>LOOKUP(MAX(M:M),M:M,N:N)</f>
        <v>#N/A</v>
      </c>
      <c r="B5" s="10" t="s">
        <v>8</v>
      </c>
      <c r="C5" s="5" t="e" cm="1">
        <f t="array" aca="1" ref="C5" ca="1">INDIRECT("'"&amp;LOOKUP($A5,$A$18:$A$27,$B$18:$B$27)&amp;"'!B6")-SUMIFS(X:X,T:T,$A5,W:W,"Accuracy")</f>
        <v>#N/A</v>
      </c>
      <c r="D5" s="6"/>
      <c r="E5" s="5"/>
      <c r="F5" s="19"/>
      <c r="G5" s="5" t="e" cm="1">
        <f t="array" aca="1" ref="G5" ca="1">F5*MAX(0,INDIRECT("'"&amp;LOOKUP($A5,$A$18:$A$27,$B$18:$B$27)&amp;"'!F23")-SUMIFS(X:X,T:T,$A5,W:W,"Willpower Factor"))</f>
        <v>#N/A</v>
      </c>
      <c r="H5" s="5">
        <v>1</v>
      </c>
      <c r="I5" s="12" t="e">
        <f ca="1">SUM(C5:E5,G5)*H5</f>
        <v>#N/A</v>
      </c>
      <c r="J5" s="3"/>
      <c r="K5" s="2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</row>
    <row r="7" spans="1:24" x14ac:dyDescent="0.25">
      <c r="A7" s="15" t="e">
        <f>LOOKUP(MAX(M:M),M:M,O:O)</f>
        <v>#N/A</v>
      </c>
      <c r="B7" s="10" t="s">
        <v>9</v>
      </c>
      <c r="C7" s="5" t="e" cm="1">
        <f t="array" aca="1" ref="C7" ca="1">INDIRECT("'"&amp;LOOKUP($A7,$A$18:$A$27,$B$18:$B$27)&amp;"'!F14")-SUMIFS(X:X,T:T,$A7,W:W,B7)</f>
        <v>#N/A</v>
      </c>
      <c r="D7" s="6"/>
      <c r="E7" s="5"/>
      <c r="F7" s="19"/>
      <c r="G7" s="5" t="e" cm="1">
        <f t="array" aca="1" ref="G7" ca="1">F7*MAX(0,INDIRECT("'"&amp;LOOKUP($A7,$A$18:$A$27,$B$18:$B$27)&amp;"'!F23")-SUMIFS(X:X,T:T,$A7,W:W,"Willpower Factor"))</f>
        <v>#N/A</v>
      </c>
      <c r="H7" s="5">
        <v>1</v>
      </c>
      <c r="I7" s="12" t="e">
        <f ca="1">SUM(C7:E7,G7)*H7</f>
        <v>#N/A</v>
      </c>
      <c r="J7" s="3"/>
      <c r="K7" s="2"/>
    </row>
    <row r="8" spans="1:24" x14ac:dyDescent="0.25">
      <c r="A8" s="2" t="e">
        <f>A5</f>
        <v>#N/A</v>
      </c>
      <c r="B8" s="10" t="s">
        <v>50</v>
      </c>
      <c r="C8" s="5" t="e" cm="1">
        <f t="array" aca="1" ref="C8" ca="1">INDIRECT("'"&amp;LOOKUP($A8,$A$18:$A$27,$B$18:$B$27)&amp;"'!D6")-SUMIFS(X:X,T:T,$A8,W:W,B8)</f>
        <v>#N/A</v>
      </c>
      <c r="D8" s="6"/>
      <c r="E8" s="5"/>
      <c r="F8" s="19"/>
      <c r="G8" s="5" t="e" cm="1">
        <f t="array" aca="1" ref="G8" ca="1">F8*MAX(0,INDIRECT("'"&amp;LOOKUP($A8,$A$18:$A$27,$B$18:$B$27)&amp;"'!F23")-SUMIFS(X:X,T:T,$A8,W:W,"Willpower Factor"))</f>
        <v>#N/A</v>
      </c>
      <c r="H8" s="5" t="e" cm="1">
        <f t="array" aca="1" ref="H8" ca="1">IF(I5&gt;I7*2,MAX(1,INDIRECT("'"&amp;LOOKUP($A8,$A$18:$A$27,$B$18:$B$27)&amp;"'!F6")-SUMIFS(X:X,T:T,$A8,W:W,"Crit Factor")),1)</f>
        <v>#N/A</v>
      </c>
      <c r="I8" s="12" t="e">
        <f ca="1">IF(I5&gt;I7,SUM(C8:E8,G8)*H8,0)</f>
        <v>#N/A</v>
      </c>
      <c r="J8" s="3"/>
      <c r="K8" s="2"/>
    </row>
    <row r="9" spans="1:24" x14ac:dyDescent="0.25">
      <c r="A9" s="2" t="e">
        <f>A7</f>
        <v>#N/A</v>
      </c>
      <c r="B9" s="10" t="s">
        <v>131</v>
      </c>
      <c r="C9" s="5"/>
      <c r="D9" s="5"/>
      <c r="E9" s="5"/>
      <c r="F9" s="20"/>
      <c r="G9" s="5" t="e" cm="1">
        <f t="array" aca="1" ref="G9" ca="1">F9*MAX(0,INDIRECT("'"&amp;LOOKUP($A9,$A$18:$A$27,$B$18:$B$27)&amp;"'!F23")-SUMIFS(X:X,T:T,$A9,W:W,"Willpower Factor"))</f>
        <v>#N/A</v>
      </c>
      <c r="H9" s="5" t="e" cm="1">
        <f t="array" aca="1" ref="H9" ca="1">100/(100+INDIRECT("'"&amp;LOOKUP($A9,$A$18:$A$27,$B$18:$B$27)&amp;"'!G6"))</f>
        <v>#N/A</v>
      </c>
      <c r="I9" s="13" t="e">
        <f ca="1">IF(I5&gt;I7,I8*(H9),0)</f>
        <v>#N/A</v>
      </c>
      <c r="J9" s="3" t="str">
        <f>IF(NOT(ISBLANK(E5)),IF(I5&gt;I7*2, "CRIT!",IF(I5&gt;I7,"HIT","miss")),"")</f>
        <v/>
      </c>
      <c r="K9" s="2"/>
    </row>
    <row r="10" spans="1:24" x14ac:dyDescent="0.25">
      <c r="A10" s="2" t="e">
        <f>A7</f>
        <v>#N/A</v>
      </c>
      <c r="B10" s="10" t="s">
        <v>13</v>
      </c>
      <c r="C10" s="5" t="e" cm="1">
        <f t="array" aca="1" ref="C10" ca="1">MAX(0,INDIRECT("'"&amp;LOOKUP($A10,$A$18:$A$27,$B$18:$B$27)&amp;"'!F16")-SUMIFS(X:X,T:T,$A10,W:W,B10))</f>
        <v>#N/A</v>
      </c>
      <c r="D10" s="6"/>
      <c r="E10" s="5"/>
      <c r="F10" s="19"/>
      <c r="G10" s="5" t="e" cm="1">
        <f t="array" aca="1" ref="G10" ca="1">F10*MAX(0,INDIRECT("'"&amp;LOOKUP($A10,$A$18:$A$27,$B$18:$B$27)&amp;"'!F23")-SUMIFS(X:X,T:T,$A10,W:W,"Willpower Factor"))</f>
        <v>#N/A</v>
      </c>
      <c r="H10" s="5">
        <v>1</v>
      </c>
      <c r="I10" s="12" t="e">
        <f ca="1">SUM(C10:E10,G10)*H10</f>
        <v>#N/A</v>
      </c>
      <c r="J10" s="3" t="str">
        <f>IF(NOT(ISBLANK(E5)),IF(IF(I5&gt;I7*2,I9*2,I9)&gt;I10,"WOUNDED",""),"")</f>
        <v/>
      </c>
      <c r="K10" s="2"/>
    </row>
    <row r="11" spans="1:24" x14ac:dyDescent="0.25">
      <c r="A11" s="2" t="e">
        <f>A7</f>
        <v>#N/A</v>
      </c>
      <c r="B11" s="10" t="s">
        <v>11</v>
      </c>
      <c r="C11" s="5" t="e" cm="1">
        <f t="array" aca="1" ref="C11" ca="1">MAX(0,INDIRECT("'"&amp;LOOKUP($A11,$A$18:$A$27,$B$18:$B$27)&amp;"'!F18")-SUMIFS(X:X,T:T,$A11,W:W,B11))</f>
        <v>#N/A</v>
      </c>
      <c r="D11" s="6"/>
      <c r="E11" s="5"/>
      <c r="F11" s="19"/>
      <c r="G11" s="5" t="e" cm="1">
        <f t="array" aca="1" ref="G11" ca="1">F11*MAX(0,INDIRECT("'"&amp;LOOKUP($A11,$A$18:$A$27,$B$18:$B$27)&amp;"'!F23")-SUMIFS(X:X,T:T,$A11,W:W,"Willpower Factor"))</f>
        <v>#N/A</v>
      </c>
      <c r="H11" s="5">
        <v>1</v>
      </c>
      <c r="I11" s="12" t="e">
        <f ca="1">SUM(C11:E11,G11)*H11</f>
        <v>#N/A</v>
      </c>
      <c r="J11" s="3" t="str">
        <f>IF(NOT(ISBLANK(E5)),IF(IF(I5&gt;I7*2,I9*2,I9)&gt;I11,"WINCED",""),"")</f>
        <v/>
      </c>
      <c r="K11" s="2"/>
    </row>
    <row r="12" spans="1:24" x14ac:dyDescent="0.25">
      <c r="A12" s="2" t="e">
        <f>A7</f>
        <v>#N/A</v>
      </c>
      <c r="B12" s="10" t="s">
        <v>19</v>
      </c>
      <c r="C12" s="5" t="e" cm="1">
        <f t="array" aca="1" ref="C12" ca="1">MAX(0,INDIRECT("'"&amp;LOOKUP($A12,$A$18:$A$27,$B$18:$B$27)&amp;"'!F20")-SUMIFS(X:X,T:T,$A12,W:W,B12))</f>
        <v>#N/A</v>
      </c>
      <c r="D12" s="6"/>
      <c r="E12" s="5"/>
      <c r="F12" s="19"/>
      <c r="G12" s="5" t="e" cm="1">
        <f t="array" aca="1" ref="G12" ca="1">F12*MAX(0,INDIRECT("'"&amp;LOOKUP($A12,$A$18:$A$27,$B$18:$B$27)&amp;"'!F23")-SUMIFS(X:X,T:T,$A12,W:W,"Willpower Factor"))</f>
        <v>#N/A</v>
      </c>
      <c r="H12" s="5">
        <v>1</v>
      </c>
      <c r="I12" s="12" t="e">
        <f ca="1">SUM(C12:E12,G12)*H12</f>
        <v>#N/A</v>
      </c>
      <c r="J12" s="3" t="e">
        <f ca="1">IF(I9&gt;0,IF(SUMIF(A18:A27,A12,F18:F27)-SUMIF(A18:A27,A12,E18:E27)&gt;I12,"UNCONSCIOUS",""),"")</f>
        <v>#N/A</v>
      </c>
      <c r="K12" s="2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5" spans="1:24" x14ac:dyDescent="0.25">
      <c r="A15" t="s">
        <v>134</v>
      </c>
      <c r="B15" t="s">
        <v>15</v>
      </c>
      <c r="C15" t="s">
        <v>16</v>
      </c>
      <c r="D15" t="s">
        <v>197</v>
      </c>
      <c r="E15" s="8">
        <v>16.77495288848877</v>
      </c>
    </row>
    <row r="17" spans="1:12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</row>
    <row r="18" spans="1:12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2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>
        <v>102</v>
      </c>
      <c r="K19" s="8"/>
      <c r="L19" s="8"/>
    </row>
    <row r="20" spans="1:12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>
        <v>89.6</v>
      </c>
      <c r="K20" s="8"/>
      <c r="L20" s="8"/>
    </row>
    <row r="21" spans="1:12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v>26.9</v>
      </c>
      <c r="K21" s="8"/>
      <c r="L21" s="8"/>
    </row>
    <row r="22" spans="1:12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>
        <v>66.8</v>
      </c>
      <c r="K22" s="8"/>
      <c r="L22" s="8"/>
    </row>
    <row r="23" spans="1:12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v>55.4</v>
      </c>
      <c r="K23" s="8"/>
      <c r="L23" s="8"/>
    </row>
    <row r="24" spans="1:12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v>40.200000000000003</v>
      </c>
      <c r="K24" s="8"/>
      <c r="L24" s="8"/>
    </row>
    <row r="25" spans="1:12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v>103</v>
      </c>
      <c r="K25" s="8"/>
      <c r="L25" s="8"/>
    </row>
    <row r="26" spans="1:12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v>85.9</v>
      </c>
      <c r="K26" s="8"/>
      <c r="L26" s="8"/>
    </row>
    <row r="27" spans="1:12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v>97.3</v>
      </c>
      <c r="K27" s="8"/>
      <c r="L27" s="8"/>
    </row>
    <row r="28" spans="1:12" hidden="1" x14ac:dyDescent="0.25">
      <c r="J28" s="8">
        <f t="shared" ref="J20:K28" si="2">(MAX(0,100-(MAX(M:M)-0-7)*1.9))</f>
        <v>113.3</v>
      </c>
    </row>
    <row r="29" spans="1:12" hidden="1" x14ac:dyDescent="0.25"/>
    <row r="30" spans="1:12" hidden="1" x14ac:dyDescent="0.25"/>
    <row r="31" spans="1:12" hidden="1" x14ac:dyDescent="0.25"/>
    <row r="32" spans="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18" hidden="1" x14ac:dyDescent="0.25"/>
    <row r="50" spans="13:18" hidden="1" x14ac:dyDescent="0.25"/>
    <row r="51" spans="13:18" hidden="1" x14ac:dyDescent="0.25"/>
    <row r="52" spans="13:18" hidden="1" x14ac:dyDescent="0.25"/>
    <row r="53" spans="13:18" hidden="1" x14ac:dyDescent="0.25">
      <c r="N53" s="11"/>
      <c r="O53" s="11"/>
      <c r="P53" s="11"/>
      <c r="Q53" s="11"/>
      <c r="R53" s="11"/>
    </row>
    <row r="54" spans="13:18" hidden="1" x14ac:dyDescent="0.25"/>
    <row r="55" spans="13:18" hidden="1" x14ac:dyDescent="0.25"/>
    <row r="56" spans="13:18" hidden="1" x14ac:dyDescent="0.25"/>
    <row r="57" spans="13:18" hidden="1" x14ac:dyDescent="0.25"/>
    <row r="58" spans="13:18" hidden="1" x14ac:dyDescent="0.25"/>
    <row r="59" spans="13:18" hidden="1" x14ac:dyDescent="0.25"/>
    <row r="60" spans="13:18" hidden="1" x14ac:dyDescent="0.25">
      <c r="M60" s="23"/>
      <c r="N60" s="24"/>
      <c r="O60" s="24"/>
      <c r="P60" s="25"/>
      <c r="Q60" s="26"/>
      <c r="R60" s="27"/>
    </row>
    <row r="61" spans="13:18" hidden="1" x14ac:dyDescent="0.25"/>
    <row r="62" spans="13:18" hidden="1" x14ac:dyDescent="0.25"/>
    <row r="63" spans="13:18" hidden="1" x14ac:dyDescent="0.25"/>
    <row r="64" spans="13:18" hidden="1" x14ac:dyDescent="0.25"/>
    <row r="65" spans="17:18" hidden="1" x14ac:dyDescent="0.25"/>
    <row r="66" spans="17:18" hidden="1" x14ac:dyDescent="0.25"/>
    <row r="67" spans="17:18" hidden="1" x14ac:dyDescent="0.25">
      <c r="Q67"/>
      <c r="R67"/>
    </row>
    <row r="68" spans="17:18" hidden="1" x14ac:dyDescent="0.25"/>
    <row r="69" spans="17:18" hidden="1" x14ac:dyDescent="0.25"/>
    <row r="70" spans="17:18" hidden="1" x14ac:dyDescent="0.25"/>
    <row r="71" spans="17:18" hidden="1" x14ac:dyDescent="0.25"/>
    <row r="72" spans="17:18" hidden="1" x14ac:dyDescent="0.25"/>
    <row r="73" spans="17:18" hidden="1" x14ac:dyDescent="0.25"/>
    <row r="74" spans="17:18" hidden="1" x14ac:dyDescent="0.25"/>
    <row r="75" spans="17:18" hidden="1" x14ac:dyDescent="0.25"/>
    <row r="76" spans="17:18" hidden="1" x14ac:dyDescent="0.25"/>
    <row r="77" spans="17:18" hidden="1" x14ac:dyDescent="0.25"/>
    <row r="78" spans="17:18" hidden="1" x14ac:dyDescent="0.25"/>
    <row r="79" spans="17:18" hidden="1" x14ac:dyDescent="0.25"/>
    <row r="80" spans="17:18" hidden="1" x14ac:dyDescent="0.25"/>
    <row r="109" spans="17:18" x14ac:dyDescent="0.25">
      <c r="Q109"/>
      <c r="R109"/>
    </row>
  </sheetData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4" priority="1" operator="equal">
      <formula>0</formula>
    </cfRule>
  </conditionalFormatting>
  <dataValidations count="2">
    <dataValidation type="list" allowBlank="1" showInputMessage="1" showErrorMessage="1" sqref="T7:T1048576 T4:T5 N4:O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 B15:C15 G15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370.9240950478424</v>
      </c>
      <c r="B1">
        <f ca="1">SUMIFS(G:G,E:E,"&gt;="&amp;A1,F:F,"&lt;"&amp;A1)</f>
        <v>3</v>
      </c>
      <c r="E1"/>
    </row>
    <row r="3" spans="1:7" x14ac:dyDescent="0.25">
      <c r="A3" t="str">
        <f ca="1">LOOKUP($B$1,$G:$G,A:A)</f>
        <v>Chest</v>
      </c>
      <c r="B3" t="str">
        <f ca="1">LOOKUP($B$1,$G:$G,B:B)</f>
        <v>Front</v>
      </c>
      <c r="C3" t="str">
        <f ca="1">LOOKUP($B$1,$G:$G,C:C)</f>
        <v>Constitution Variance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K17" sqref="K1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15</v>
      </c>
      <c r="I10" t="s">
        <v>194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191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192</v>
      </c>
      <c r="B28" t="s">
        <v>191</v>
      </c>
      <c r="C28">
        <v>150</v>
      </c>
      <c r="D28" s="8">
        <f>$C28/LOOKUP($A28,'STAT COSTS'!$A:$A,'STAT COSTS'!$B:$B)</f>
        <v>0.3</v>
      </c>
      <c r="E28" s="8">
        <v>0.1</v>
      </c>
      <c r="F28" s="11">
        <f t="shared" si="0"/>
        <v>0.4</v>
      </c>
    </row>
    <row r="29" spans="1:6" x14ac:dyDescent="0.25">
      <c r="A29" t="s">
        <v>195</v>
      </c>
      <c r="B29" t="s">
        <v>191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196</v>
      </c>
      <c r="B30" t="s">
        <v>191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F27" sqref="F27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6"/>
  <sheetViews>
    <sheetView workbookViewId="0">
      <selection activeCell="A6" sqref="A6:A7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195</v>
      </c>
      <c r="B6">
        <v>2</v>
      </c>
    </row>
    <row r="7" spans="1:2" x14ac:dyDescent="0.25">
      <c r="A7" t="s">
        <v>196</v>
      </c>
      <c r="B7">
        <v>1</v>
      </c>
    </row>
    <row r="8" spans="1:2" x14ac:dyDescent="0.25">
      <c r="A8" t="s">
        <v>19</v>
      </c>
      <c r="B8">
        <v>10</v>
      </c>
    </row>
    <row r="9" spans="1:2" x14ac:dyDescent="0.25">
      <c r="A9" t="s">
        <v>20</v>
      </c>
      <c r="B9">
        <v>2</v>
      </c>
    </row>
    <row r="10" spans="1:2" x14ac:dyDescent="0.25">
      <c r="A10" t="s">
        <v>120</v>
      </c>
      <c r="B10">
        <v>200</v>
      </c>
    </row>
    <row r="11" spans="1:2" x14ac:dyDescent="0.25">
      <c r="A11" t="s">
        <v>7</v>
      </c>
      <c r="B11">
        <v>5</v>
      </c>
    </row>
    <row r="12" spans="1:2" x14ac:dyDescent="0.25">
      <c r="A12" t="s">
        <v>9</v>
      </c>
      <c r="B12">
        <v>25</v>
      </c>
    </row>
    <row r="13" spans="1:2" x14ac:dyDescent="0.25">
      <c r="A13" t="s">
        <v>10</v>
      </c>
      <c r="B13">
        <v>5</v>
      </c>
    </row>
    <row r="14" spans="1:2" x14ac:dyDescent="0.25">
      <c r="A14" t="s">
        <v>13</v>
      </c>
      <c r="B14">
        <v>12</v>
      </c>
    </row>
    <row r="15" spans="1:2" x14ac:dyDescent="0.25">
      <c r="A15" t="s">
        <v>14</v>
      </c>
      <c r="B15">
        <v>4</v>
      </c>
    </row>
    <row r="16" spans="1:2" x14ac:dyDescent="0.25">
      <c r="A16" t="s">
        <v>192</v>
      </c>
      <c r="B16">
        <v>500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2024-12-08T03:04:38Z</dcterms:modified>
</cp:coreProperties>
</file>
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0954F4F3-3B74-4384-9B86-929C423983B3}" xr6:coauthVersionLast="47" xr6:coauthVersionMax="47" xr10:uidLastSave="{00000000-0000-0000-0000-000000000000}"/>
  <bookViews>
    <workbookView xWindow="12540" yWindow="0" windowWidth="2820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Cat Soldier" sheetId="14" r:id="rId8"/>
    <sheet name="Weapons" sheetId="9" r:id="rId9"/>
    <sheet name="Features" sheetId="11" r:id="rId10"/>
    <sheet name="Features (Species)" sheetId="12" r:id="rId11"/>
    <sheet name="STAT COSTS" sheetId="7" r:id="rId12"/>
    <sheet name="Sources" sheetId="4" r:id="rId13"/>
    <sheet name="Changelog" sheetId="10" r:id="rId14"/>
  </sheets>
  <definedNames>
    <definedName name="_xleta.IF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6" i="5" l="1"/>
  <c r="Y15" i="5"/>
  <c r="Y14" i="5"/>
  <c r="Y13" i="5"/>
  <c r="Y12" i="5"/>
  <c r="Y11" i="5"/>
  <c r="Y10" i="5"/>
  <c r="Y9" i="5"/>
  <c r="Y8" i="5"/>
  <c r="Y7" i="5"/>
  <c r="Y5" i="5"/>
  <c r="Y4" i="5"/>
  <c r="E23" i="14"/>
  <c r="E6" i="18"/>
  <c r="F7" i="18" s="1"/>
  <c r="J20" i="5" a="1"/>
  <c r="Q53" i="5" a="1"/>
  <c r="Q52" i="5" a="1"/>
  <c r="Q51" i="5" a="1"/>
  <c r="J27" i="5" a="1"/>
  <c r="J26" i="5" a="1"/>
  <c r="Q44" i="5" a="1"/>
  <c r="Q43" i="5" a="1"/>
  <c r="Q42" i="5" a="1"/>
  <c r="J25" i="5" a="1"/>
  <c r="J24" i="5" a="1"/>
  <c r="J23" i="5" a="1"/>
  <c r="Q33" i="5" a="1"/>
  <c r="Q32" i="5" a="1"/>
  <c r="Q31" i="5" a="1"/>
  <c r="J22" i="5" a="1"/>
  <c r="J21" i="5" a="1"/>
  <c r="Q22" i="5" a="1"/>
  <c r="Q21" i="5" a="1"/>
  <c r="Q20" i="5" a="1"/>
  <c r="Q17" i="5" a="1"/>
  <c r="Q16" i="5" a="1"/>
  <c r="Q15" i="5" a="1"/>
  <c r="Q12" i="5" a="1"/>
  <c r="Q11" i="5" a="1"/>
  <c r="J19" i="5" a="1"/>
  <c r="G6" i="5" a="1"/>
  <c r="J20" i="5" l="1"/>
  <c r="Q53" i="5"/>
  <c r="Q52" i="5"/>
  <c r="Q51" i="5"/>
  <c r="J27" i="5"/>
  <c r="J26" i="5"/>
  <c r="Q44" i="5"/>
  <c r="Q43" i="5"/>
  <c r="Q42" i="5"/>
  <c r="J25" i="5"/>
  <c r="J24" i="5"/>
  <c r="J23" i="5"/>
  <c r="Q33" i="5"/>
  <c r="Q32" i="5"/>
  <c r="Q31" i="5"/>
  <c r="J22" i="5"/>
  <c r="J21" i="5"/>
  <c r="Q22" i="5"/>
  <c r="Q21" i="5"/>
  <c r="Q20" i="5"/>
  <c r="Q17" i="5"/>
  <c r="Q16" i="5"/>
  <c r="Q15" i="5"/>
  <c r="Q12" i="5"/>
  <c r="Q11" i="5"/>
  <c r="J19" i="5"/>
  <c r="G6" i="5"/>
  <c r="E7" i="18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18" i="5" a="1"/>
  <c r="D18" i="5" a="1"/>
  <c r="F18" i="5" a="1"/>
  <c r="H18" i="5" a="1"/>
  <c r="C6" i="5" a="1"/>
  <c r="C20" i="5" a="1"/>
  <c r="D23" i="5" a="1"/>
  <c r="H24" i="5" a="1"/>
  <c r="D25" i="5" a="1"/>
  <c r="F21" i="5" a="1"/>
  <c r="F26" i="5" a="1"/>
  <c r="C22" i="5" a="1"/>
  <c r="D20" i="5" a="1"/>
  <c r="H21" i="5" a="1"/>
  <c r="C25" i="5" a="1"/>
  <c r="F23" i="5" a="1"/>
  <c r="H26" i="5" a="1"/>
  <c r="F20" i="5" a="1"/>
  <c r="D22" i="5" a="1"/>
  <c r="H23" i="5" a="1"/>
  <c r="C27" i="5" a="1"/>
  <c r="F25" i="5" a="1"/>
  <c r="F27" i="5" a="1"/>
  <c r="C26" i="5" a="1"/>
  <c r="H20" i="5" a="1"/>
  <c r="C24" i="5" a="1"/>
  <c r="D27" i="5" a="1"/>
  <c r="D21" i="5" a="1"/>
  <c r="F22" i="5" a="1"/>
  <c r="D24" i="5" a="1"/>
  <c r="H27" i="5" a="1"/>
  <c r="C21" i="5" a="1"/>
  <c r="H25" i="5" a="1"/>
  <c r="H22" i="5" a="1"/>
  <c r="F24" i="5" a="1"/>
  <c r="C23" i="5" a="1"/>
  <c r="D26" i="5" a="1"/>
  <c r="H19" i="5" a="1"/>
  <c r="F19" i="5" a="1"/>
  <c r="D19" i="5" a="1"/>
  <c r="C19" i="5" a="1"/>
  <c r="E9" i="18" l="1"/>
  <c r="F9" i="18"/>
  <c r="H18" i="5"/>
  <c r="F18" i="5"/>
  <c r="E18" i="5" s="1"/>
  <c r="D18" i="5"/>
  <c r="C18" i="5"/>
  <c r="C6" i="5"/>
  <c r="D26" i="5"/>
  <c r="C23" i="5"/>
  <c r="F24" i="5"/>
  <c r="E24" i="5" s="1"/>
  <c r="H22" i="5"/>
  <c r="H25" i="5"/>
  <c r="C21" i="5"/>
  <c r="H27" i="5"/>
  <c r="D24" i="5"/>
  <c r="F22" i="5"/>
  <c r="E22" i="5" s="1"/>
  <c r="D21" i="5"/>
  <c r="D27" i="5"/>
  <c r="C24" i="5"/>
  <c r="H20" i="5"/>
  <c r="C26" i="5"/>
  <c r="F27" i="5"/>
  <c r="E27" i="5" s="1"/>
  <c r="F25" i="5"/>
  <c r="E25" i="5" s="1"/>
  <c r="C27" i="5"/>
  <c r="H23" i="5"/>
  <c r="D22" i="5"/>
  <c r="F20" i="5"/>
  <c r="H26" i="5"/>
  <c r="F23" i="5"/>
  <c r="E23" i="5" s="1"/>
  <c r="C25" i="5"/>
  <c r="H21" i="5"/>
  <c r="D20" i="5"/>
  <c r="C22" i="5"/>
  <c r="F26" i="5"/>
  <c r="E26" i="5" s="1"/>
  <c r="F21" i="5"/>
  <c r="E21" i="5" s="1"/>
  <c r="D25" i="5"/>
  <c r="H24" i="5"/>
  <c r="D23" i="5"/>
  <c r="C20" i="5"/>
  <c r="H19" i="5"/>
  <c r="F19" i="5"/>
  <c r="D19" i="5"/>
  <c r="C19" i="5"/>
  <c r="E10" i="18" l="1"/>
  <c r="F10" i="18"/>
  <c r="E20" i="5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C5" i="5" a="1"/>
  <c r="G5" i="5" a="1"/>
  <c r="G7" i="5" a="1"/>
  <c r="C7" i="5" a="1"/>
  <c r="C5" i="5" l="1"/>
  <c r="G5" i="5"/>
  <c r="G7" i="5"/>
  <c r="C7" i="5"/>
  <c r="G21" i="5"/>
  <c r="G20" i="5"/>
  <c r="G27" i="5"/>
  <c r="G18" i="5"/>
  <c r="G25" i="5"/>
  <c r="G24" i="5"/>
  <c r="G26" i="5"/>
  <c r="G22" i="5"/>
  <c r="G23" i="5"/>
  <c r="I7" i="5" l="1"/>
  <c r="A12" i="5"/>
  <c r="A11" i="5"/>
  <c r="A10" i="5"/>
  <c r="A9" i="5"/>
  <c r="A8" i="5"/>
  <c r="D6" i="14"/>
  <c r="D6" i="13"/>
  <c r="F6" i="14"/>
  <c r="E6" i="14"/>
  <c r="B6" i="14"/>
  <c r="F6" i="13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D34" i="13"/>
  <c r="F34" i="13" s="1"/>
  <c r="C3" i="8"/>
  <c r="D24" i="8"/>
  <c r="F24" i="8" s="1"/>
  <c r="D27" i="13"/>
  <c r="F27" i="13" s="1"/>
  <c r="D33" i="13"/>
  <c r="F33" i="13" s="1"/>
  <c r="D32" i="13"/>
  <c r="F32" i="13" s="1"/>
  <c r="D31" i="13"/>
  <c r="F31" i="13" s="1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G12" i="5" a="1"/>
  <c r="G11" i="5" a="1"/>
  <c r="G10" i="5" a="1"/>
  <c r="G9" i="5" a="1"/>
  <c r="G8" i="5" a="1"/>
  <c r="C8" i="5" a="1"/>
  <c r="C11" i="5" a="1"/>
  <c r="C10" i="5" a="1"/>
  <c r="H9" i="5" a="1"/>
  <c r="G8" i="5" l="1"/>
  <c r="G9" i="5"/>
  <c r="G10" i="5"/>
  <c r="I5" i="5"/>
  <c r="G11" i="5"/>
  <c r="G12" i="5"/>
  <c r="C8" i="5"/>
  <c r="C10" i="5"/>
  <c r="I10" i="5" s="1"/>
  <c r="C11" i="5"/>
  <c r="I11" i="5" s="1"/>
  <c r="H9" i="5"/>
  <c r="I6" i="5"/>
  <c r="F9" i="14"/>
  <c r="H8" i="5" a="1"/>
  <c r="H8" i="5" l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F23" i="14"/>
  <c r="E10" i="14"/>
  <c r="F10" i="14" s="1"/>
  <c r="E19" i="5"/>
  <c r="J9" i="5" l="1"/>
  <c r="G19" i="5"/>
  <c r="I8" i="5" l="1"/>
  <c r="I9" i="5" s="1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E11" i="13" l="1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C12" i="5" l="1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<sst xmlns="http://schemas.openxmlformats.org/spreadsheetml/2006/main" count="698" uniqueCount="191">
  <si>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</si>
  <si>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</si>
  <si>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</si>
  <si>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</si>
  <si>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</si>
  <si>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</si>
  <si>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</si>
  <si>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</si>
  <si>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</si>
  <si>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</si>
  <si>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</si>
  <si>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</si>
  <si>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</si>
  <si>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</si>
  <si>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</si>
  <si>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</si>
  <si>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</si>
  <si>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</si>
  <si>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</si>
  <si>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</si>
  <si>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</si>
  <si>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</si>
  <si>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</si>
  <si>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</si>
  <si>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</si>
  <si>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</si>
  <si>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</si>
  <si>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</si>
  <si>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</si>
  <si>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</si>
  <si>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</si>
  <si>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</si>
  <si>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</si>
  <si>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</si>
  <si>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</si>
  <si>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</si>
  <si>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</si>
  <si>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</si>
  <si>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</si>
  <si>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</si>
  <si>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</si>
  <si>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</si>
  <si>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</si>
  <si>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</si>
  <si>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</si>
  <si>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</si>
  <si>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</si>
  <si>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</si>
  <si>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</si>
  <si>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</si>
  <si>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</si>
  <si>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</si>
  <si>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</si>
  <si>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</si>
  <si>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</si>
  <si>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</si>
  <si>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</si>
  <si>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</si>
  <si>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</si>
  <si>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</si>
  <si>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</si>
  <si>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</si>
  <si>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</si>
  <si>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</si>
  <si>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</si>
  <si>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</si>
  <si>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</si>
  <si>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</si>
  <si>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</si>
  <si>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</si>
  <si>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</si>
  <si>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</si>
  <si>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</si>
  <si>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</si>
  <si>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</si>
  <si>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</si>
  <si>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</si>
  <si>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</si>
  <si>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</si>
  <si>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</si>
  <si>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</si>
  <si>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</si>
  <si>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</si>
  <si>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</si>
  <si>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</si>
  <si>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</si>
  <si>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</si>
  <si>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</si>
  <si>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</si>
  <si>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</si>
  <si>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</si>
  <si>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</si>
  <si>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</si>
  <si>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</si>
  <si>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</si>
  <si>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</si>
  <si>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</si>
  <si>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</si>
  <si>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</si>
  <si>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</si>
  <si>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</si>
  <si>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</si>
  <si>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</si>
  <si>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</si>
  <si>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</si>
  <si>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</si>
  <si>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</si>
  <si>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</si>
  <si>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</si>
  <si>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</si>
  <si>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</si>
  <si>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</si>
  <si>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</si>
  <si>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</si>
  <si>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</si>
  <si>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</si>
  <si>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</si>
  <si>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</si>
  <si>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</si>
  <si>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</si>
  <si>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</si>
  <si>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</si>
  <si>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</si>
  <si>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</si>
  <si>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</si>
  <si>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</si>
  <si>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</si>
  <si>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</si>
  <si>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</si>
  <si>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</si>
  <si>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</si>
  <si>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</si>
  <si>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</si>
  <si>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</si>
  <si>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</si>
  <si>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</si>
  <si>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</si>
  <si>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</si>
  <si>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</si>
  <si>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</si>
  <si>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</si>
  <si>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</si>
  <si>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</si>
  <si>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</si>
  <si>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</si>
  <si>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</si>
  <si>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</si>
  <si>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</si>
  <si>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1 Cat Soldier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</si>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</sst>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1" xfId="0" applyFont="1" applyFill="1" applyBorder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0" fontId="1" fillId="0" borderId="0" xfId="0" applyFont="1" applyFill="1" applyBorder="1" applyAlignment="1"/>
    <xf numFmtId="164" fontId="0" fillId="0" borderId="3" xfId="0" applyNumberFormat="1" applyBorder="1"/>
    <xf numFmtId="0" fontId="0" fillId="0" borderId="4" xfId="0" applyBorder="1"/>
    <xf numFmtId="1" fontId="0" fillId="0" borderId="5" xfId="0" applyNumberFormat="1" applyBorder="1"/>
    <xf numFmtId="0" fontId="0" fillId="0" borderId="0" xfId="0" applyFill="1" applyBorder="1"/>
    <xf numFmtId="1" fontId="0" fillId="3" borderId="0" xfId="0" applyNumberFormat="1" applyFill="1"/>
    <xf numFmtId="1" fontId="0" fillId="2" borderId="0" xfId="0" applyNumberFormat="1" applyFill="1"/>
    <xf numFmtId="1" fontId="0" fillId="0" borderId="4" xfId="0" applyNumberFormat="1" applyBorder="1"/>
  </cellXfs>
  <cellStyles count="1"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A41" sqref="A41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2.1</v>
      </c>
      <c r="K29" s="8">
        <f>E29*SUMIF(Species!A:A,Species_Stats!A29,Species!B:B)</f>
        <v>44.1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1</v>
      </c>
      <c r="K40" s="8">
        <f>E40*SUMIF(Species!A:A,Species_Stats!A40,Species!B:B)</f>
        <v>21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9" t="s">
        <v>35</v>
      </c>
      <c r="D2" s="9"/>
      <c r="E2" s="9"/>
      <c r="F2" s="9"/>
      <c r="G2" s="9" t="s">
        <v>8</v>
      </c>
      <c r="H2" s="9"/>
      <c r="I2" s="9"/>
      <c r="J2" s="9" t="s">
        <v>44</v>
      </c>
      <c r="K2" s="9"/>
      <c r="L2" s="9"/>
      <c r="M2" s="9"/>
      <c r="N2" s="9"/>
      <c r="O2" s="9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Y78"/>
  <sheetViews>
    <sheetView tabSelected="1" workbookViewId="0">
      <selection activeCell="A2" sqref="A2:Y77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12.85546875" customWidth="1"/>
    <col min="14" max="14" width="9.140625" style="8"/>
    <col min="15" max="16" width="11.85546875" bestFit="1" customWidth="1"/>
    <col min="18" max="18" width="11.85546875" style="17" bestFit="1" customWidth="1"/>
    <col min="19" max="19" width="12.5703125" style="17" customWidth="1"/>
    <col min="21" max="21" width="11.85546875" bestFit="1" customWidth="1"/>
    <col min="24" max="24" width="11.7109375" bestFit="1" customWidth="1"/>
    <col min="25" max="25" width="9.140625" style="8"/>
  </cols>
  <sheetData>
    <row r="1" spans="1:25" x14ac:dyDescent="0.25">
      <c r="N1"/>
      <c r="R1"/>
      <c r="S1"/>
      <c r="Y1"/>
    </row>
    <row r="2" spans="1:25" x14ac:dyDescent="0.25">
      <c r="N2"/>
      <c r="R2"/>
      <c r="S2"/>
      <c r="V2" s="22" t="s">
        <v>186</v>
      </c>
      <c r="W2" s="22"/>
      <c r="X2" s="22"/>
      <c r="Y2" s="22"/>
    </row>
    <row r="3" spans="1:2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N3" s="1" t="s">
        <v>138</v>
      </c>
      <c r="O3" s="1" t="s">
        <v>128</v>
      </c>
      <c r="P3" s="1" t="s">
        <v>129</v>
      </c>
      <c r="Q3" s="1" t="s">
        <v>50</v>
      </c>
      <c r="R3" s="1" t="s">
        <v>139</v>
      </c>
      <c r="S3" s="1" t="s">
        <v>140</v>
      </c>
      <c r="U3" s="12" t="s">
        <v>47</v>
      </c>
      <c r="V3" s="12" t="s">
        <v>158</v>
      </c>
      <c r="W3" s="12" t="s">
        <v>168</v>
      </c>
      <c r="X3" s="12" t="s">
        <v>59</v>
      </c>
      <c r="Y3" s="12" t="s">
        <v>187</v>
      </c>
    </row>
    <row r="4" spans="1:25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190</v>
      </c>
      <c r="H4" s="7" t="s">
        <v>127</v>
      </c>
      <c r="I4" s="7" t="s">
        <v>54</v>
      </c>
      <c r="J4" s="2"/>
      <c r="K4" s="2"/>
      <c r="N4" s="8">
        <v>1</v>
      </c>
      <c r="O4" t="s">
        <v>157</v>
      </c>
      <c r="P4" t="s">
        <v>148</v>
      </c>
      <c r="Q4" s="8">
        <v>47</v>
      </c>
      <c r="R4" s="17">
        <v>2</v>
      </c>
      <c r="S4" s="17">
        <v>2</v>
      </c>
      <c r="U4" t="s">
        <v>148</v>
      </c>
      <c r="V4" t="s">
        <v>161</v>
      </c>
      <c r="W4" t="s">
        <v>166</v>
      </c>
      <c r="X4" t="s">
        <v>5</v>
      </c>
      <c r="Y4" s="8">
        <f>47-28.5</f>
        <v>18.5</v>
      </c>
    </row>
    <row r="5" spans="1:25" x14ac:dyDescent="0.25">
      <c r="A5" s="18" t="str">
        <f>LOOKUP(MAX(N:N),N:N,O:O)</f>
        <v>7 Cat Soldier</v>
      </c>
      <c r="B5" s="13" t="s">
        <v>8</v>
      </c>
      <c r="C5" s="5" cm="1">
        <f t="array" aca="1" ref="C5" ca="1">INDIRECT("'"&amp;LOOKUP($A5,$A$18:$A$27,$B$18:$B$27)&amp;"'!B6")-SUMIFS(Y:Y,U:U,$A5,X:X,"Accuracy")</f>
        <v>3.4090909090909092</v>
      </c>
      <c r="D5" s="6"/>
      <c r="E5" s="5">
        <v>3.8632000486056013</v>
      </c>
      <c r="F5" s="27">
        <v>1</v>
      </c>
      <c r="G5" s="5" cm="1">
        <f t="array" aca="1" ref="G5" ca="1">F5*MAX(0,INDIRECT("'"&amp;LOOKUP($A5,$A$18:$A$27,$B$18:$B$27)&amp;"'!F23")-SUMIFS(Y:Y,U:U,$A5,X:X,"Willpower Factor"))</f>
        <v>2.25</v>
      </c>
      <c r="H5" s="5">
        <v>1</v>
      </c>
      <c r="I5" s="15">
        <f ca="1">SUM(C5:E5,G5)*H5</f>
        <v>9.5222909576965105</v>
      </c>
      <c r="J5" s="3"/>
      <c r="K5" s="2"/>
      <c r="N5" s="8">
        <v>2</v>
      </c>
      <c r="Q5" s="8"/>
      <c r="U5" t="s">
        <v>149</v>
      </c>
      <c r="V5" t="s">
        <v>164</v>
      </c>
      <c r="W5" t="s">
        <v>169</v>
      </c>
      <c r="X5" t="s">
        <v>20</v>
      </c>
      <c r="Y5" s="8">
        <f>52.7-19.5</f>
        <v>33.200000000000003</v>
      </c>
    </row>
    <row r="6" spans="1:25" hidden="1" x14ac:dyDescent="0.25">
      <c r="A6" s="2"/>
      <c r="B6" s="13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27"/>
      <c r="G6" s="5" t="e" cm="1">
        <f t="array" aca="1" ref="G6" ca="1">F6*INDIRECT("'"&amp;LOOKUP($A6,$A$18:$A$27,$B$18:$B$27)&amp;"'!F23")</f>
        <v>#N/A</v>
      </c>
      <c r="H6" s="5">
        <v>1</v>
      </c>
      <c r="I6" s="15" t="e">
        <f ca="1">SUM(C6:E6)*H6</f>
        <v>#N/A</v>
      </c>
      <c r="J6" s="3"/>
      <c r="K6" s="2"/>
      <c r="Q6" s="8"/>
    </row>
    <row r="7" spans="1:25" x14ac:dyDescent="0.25">
      <c r="A7" s="18" t="str">
        <f>LOOKUP(MAX(N:N),N:N,P:P)</f>
        <v>0 Wryonin</v>
      </c>
      <c r="B7" s="13" t="s">
        <v>9</v>
      </c>
      <c r="C7" s="5" cm="1">
        <f t="array" aca="1" ref="C7" ca="1">INDIRECT("'"&amp;LOOKUP($A7,$A$18:$A$27,$B$18:$B$27)&amp;"'!F14")-SUMIFS(Y:Y,U:U,$A7,X:X,B7)</f>
        <v>0.8</v>
      </c>
      <c r="D7" s="6"/>
      <c r="E7" s="5">
        <v>4.3035850524902344</v>
      </c>
      <c r="F7" s="27">
        <v>2</v>
      </c>
      <c r="G7" s="5" cm="1">
        <f t="array" aca="1" ref="G7" ca="1">F7*INDIRECT("'"&amp;LOOKUP($A7,$A$18:$A$27,$B$18:$B$27)&amp;"'!F23")</f>
        <v>2.7199999999999998</v>
      </c>
      <c r="H7" s="5">
        <v>1</v>
      </c>
      <c r="I7" s="15">
        <f ca="1">SUM(C7:E7,G7)*H7</f>
        <v>7.8235850524902339</v>
      </c>
      <c r="J7" s="3"/>
      <c r="K7" s="2"/>
      <c r="N7" s="8">
        <v>3</v>
      </c>
      <c r="O7" t="s">
        <v>157</v>
      </c>
      <c r="P7" t="s">
        <v>149</v>
      </c>
      <c r="Q7" s="8">
        <v>0</v>
      </c>
      <c r="U7" t="s">
        <v>150</v>
      </c>
      <c r="V7" t="s">
        <v>179</v>
      </c>
      <c r="W7" t="s">
        <v>170</v>
      </c>
      <c r="X7" t="s">
        <v>19</v>
      </c>
      <c r="Y7" s="8">
        <f>49.9-26.8</f>
        <v>23.099999999999998</v>
      </c>
    </row>
    <row r="8" spans="1:25" x14ac:dyDescent="0.25">
      <c r="A8" s="2" t="str">
        <f>A5</f>
        <v>7 Cat Soldier</v>
      </c>
      <c r="B8" s="13" t="s">
        <v>50</v>
      </c>
      <c r="C8" s="5" cm="1">
        <f t="array" aca="1" ref="C8" ca="1">INDIRECT("'"&amp;LOOKUP($A8,$A$18:$A$27,$B$18:$B$27)&amp;"'!D6")-SUMIFS(Y:Y,U:U,$A8,X:X,B8)</f>
        <v>10</v>
      </c>
      <c r="D8" s="6"/>
      <c r="E8" s="5">
        <v>0.23094022274017334</v>
      </c>
      <c r="F8" s="27"/>
      <c r="G8" s="5" cm="1">
        <f t="array" aca="1" ref="G8" ca="1">F8*INDIRECT("'"&amp;LOOKUP($A8,$A$18:$A$27,$B$18:$B$27)&amp;"'!F23")</f>
        <v>0</v>
      </c>
      <c r="H8" s="5" cm="1">
        <f t="array" aca="1" ref="H8" ca="1">IF(I5&gt;I7*2,MAX(1,INDIRECT("'"&amp;LOOKUP($A8,$A$18:$A$27,$B$18:$B$27)&amp;"'!F6")-SUMIFS(Y:Y,U:U,$A8,X:X,"Crit Factor")),1)</f>
        <v>1</v>
      </c>
      <c r="I8" s="15">
        <f ca="1">IF(I5&gt;I7,SUM(C8:E8,G8)*H8,0)</f>
        <v>10.230940222740173</v>
      </c>
      <c r="J8" s="3"/>
      <c r="K8" s="2"/>
      <c r="N8" s="8">
        <v>4</v>
      </c>
      <c r="Q8" s="8"/>
      <c r="U8" t="s">
        <v>151</v>
      </c>
      <c r="V8" t="s">
        <v>163</v>
      </c>
      <c r="W8" t="s">
        <v>169</v>
      </c>
      <c r="X8" t="s">
        <v>19</v>
      </c>
      <c r="Y8" s="8">
        <f>46.8-29.3</f>
        <v>17.499999999999996</v>
      </c>
    </row>
    <row r="9" spans="1:25" x14ac:dyDescent="0.25">
      <c r="A9" s="2" t="str">
        <f>A7</f>
        <v>0 Wryonin</v>
      </c>
      <c r="B9" s="13" t="s">
        <v>131</v>
      </c>
      <c r="C9" s="5"/>
      <c r="D9" s="5"/>
      <c r="E9" s="5"/>
      <c r="F9" s="28"/>
      <c r="G9" s="5" cm="1">
        <f t="array" aca="1" ref="G9" ca="1">F9*INDIRECT("'"&amp;LOOKUP($A9,$A$18:$A$27,$B$18:$B$27)&amp;"'!F23")</f>
        <v>0</v>
      </c>
      <c r="H9" s="5" cm="1">
        <f t="array" aca="1" ref="H9" ca="1">100/(100+INDIRECT("'"&amp;LOOKUP($A9,$A$18:$A$27,$B$18:$B$27)&amp;"'!G6"))</f>
        <v>0.83333333333333337</v>
      </c>
      <c r="I9" s="16">
        <f ca="1">IF(I5&gt;I7,I8*(H9),0)</f>
        <v>8.5257835189501456</v>
      </c>
      <c r="J9" s="3" t="str">
        <f ca="1">IF(I5&gt;I7*2, "CRIT!",IF(I5&gt;I7,"HIT","miss"))</f>
        <v>HIT</v>
      </c>
      <c r="K9" s="2"/>
      <c r="N9" s="8">
        <v>5</v>
      </c>
      <c r="O9" t="s">
        <v>157</v>
      </c>
      <c r="P9" t="s">
        <v>149</v>
      </c>
      <c r="Q9" s="8">
        <v>0</v>
      </c>
      <c r="U9" t="s">
        <v>152</v>
      </c>
      <c r="V9" t="s">
        <v>164</v>
      </c>
      <c r="W9" t="s">
        <v>169</v>
      </c>
      <c r="X9" t="s">
        <v>20</v>
      </c>
      <c r="Y9" s="8">
        <f>40.2-20.2</f>
        <v>20.000000000000004</v>
      </c>
    </row>
    <row r="10" spans="1:25" x14ac:dyDescent="0.25">
      <c r="A10" s="2" t="str">
        <f>A7</f>
        <v>0 Wryonin</v>
      </c>
      <c r="B10" s="13" t="s">
        <v>13</v>
      </c>
      <c r="C10" s="5" cm="1">
        <f t="array" aca="1" ref="C10" ca="1">MAX(0,INDIRECT("'"&amp;LOOKUP($A10,$A$18:$A$27,$B$18:$B$27)&amp;"'!F16")-SUMIFS(Y:Y,U:U,$A10,X:X,B10))</f>
        <v>24.983333333333334</v>
      </c>
      <c r="D10" s="6"/>
      <c r="E10" s="5">
        <v>4.631061321496964</v>
      </c>
      <c r="F10" s="27"/>
      <c r="G10" s="5" cm="1">
        <f t="array" aca="1" ref="G10" ca="1">F10*INDIRECT("'"&amp;LOOKUP($A10,$A$18:$A$27,$B$18:$B$27)&amp;"'!F23")</f>
        <v>0</v>
      </c>
      <c r="H10" s="5">
        <v>1</v>
      </c>
      <c r="I10" s="15">
        <f ca="1">SUM(C10:E10,G10)*H10</f>
        <v>29.614394654830299</v>
      </c>
      <c r="J10" s="3" t="str">
        <f ca="1">IF(I9&gt;I10,"WOUNDED","")</f>
        <v/>
      </c>
      <c r="K10" s="2"/>
      <c r="N10" s="8">
        <v>6</v>
      </c>
      <c r="Q10" s="8"/>
      <c r="U10" t="s">
        <v>153</v>
      </c>
      <c r="V10" t="s">
        <v>161</v>
      </c>
      <c r="W10" t="s">
        <v>166</v>
      </c>
      <c r="X10" t="s">
        <v>5</v>
      </c>
      <c r="Y10" s="8">
        <f>35.1-23</f>
        <v>12.100000000000001</v>
      </c>
    </row>
    <row r="11" spans="1:25" x14ac:dyDescent="0.25">
      <c r="A11" s="2" t="str">
        <f>A7</f>
        <v>0 Wryonin</v>
      </c>
      <c r="B11" s="13" t="s">
        <v>11</v>
      </c>
      <c r="C11" s="5" cm="1">
        <f t="array" aca="1" ref="C11" ca="1">MAX(0,INDIRECT("'"&amp;LOOKUP($A11,$A$18:$A$27,$B$18:$B$27)&amp;"'!F18")-SUMIFS(Y:Y,U:U,$A11,X:X,B11))</f>
        <v>13.893181818181819</v>
      </c>
      <c r="D11" s="6"/>
      <c r="E11" s="5">
        <v>0.94192725867033023</v>
      </c>
      <c r="F11" s="27"/>
      <c r="G11" s="5" cm="1">
        <f t="array" aca="1" ref="G11" ca="1">F11*INDIRECT("'"&amp;LOOKUP($A11,$A$18:$A$27,$B$18:$B$27)&amp;"'!F23")</f>
        <v>0</v>
      </c>
      <c r="H11" s="5">
        <v>1</v>
      </c>
      <c r="I11" s="15">
        <f ca="1">SUM(C11:E11,G11)*H11</f>
        <v>14.835109076852149</v>
      </c>
      <c r="J11" s="3" t="str">
        <f ca="1">IF(I9&gt;I11,"WINCED","")</f>
        <v/>
      </c>
      <c r="K11" s="2"/>
      <c r="N11" s="8">
        <v>7</v>
      </c>
      <c r="O11" t="s">
        <v>157</v>
      </c>
      <c r="Q11" s="8" cm="1">
        <f t="array" aca="1" ref="Q11" ca="1">17.9*INDIRECT("'"&amp;$B$18&amp;"'!F28")</f>
        <v>10.292499999999999</v>
      </c>
      <c r="U11" t="s">
        <v>154</v>
      </c>
      <c r="V11" t="s">
        <v>171</v>
      </c>
      <c r="W11" t="s">
        <v>175</v>
      </c>
      <c r="X11" t="s">
        <v>12</v>
      </c>
      <c r="Y11" s="8">
        <f>48.9-19.7</f>
        <v>29.2</v>
      </c>
    </row>
    <row r="12" spans="1:25" x14ac:dyDescent="0.25">
      <c r="A12" s="2" t="str">
        <f>A7</f>
        <v>0 Wryonin</v>
      </c>
      <c r="B12" s="13" t="s">
        <v>19</v>
      </c>
      <c r="C12" s="5" cm="1">
        <f t="array" aca="1" ref="C12" ca="1">MAX(0,INDIRECT("'"&amp;LOOKUP($A12,$A$18:$A$27,$B$18:$B$27)&amp;"'!F20")-SUMIFS(Y:Y,U:U,$A12,X:X,B12))</f>
        <v>123.75</v>
      </c>
      <c r="D12" s="6"/>
      <c r="E12" s="5">
        <v>62.510688221454622</v>
      </c>
      <c r="F12" s="27"/>
      <c r="G12" s="5" cm="1">
        <f t="array" aca="1" ref="G12" ca="1">F12*INDIRECT("'"&amp;LOOKUP($A12,$A$18:$A$27,$B$18:$B$27)&amp;"'!F23")</f>
        <v>0</v>
      </c>
      <c r="H12" s="5">
        <v>1</v>
      </c>
      <c r="I12" s="15">
        <f ca="1">SUM(C12:E12,G12)*H12</f>
        <v>186.26068822145461</v>
      </c>
      <c r="J12" s="3" t="str">
        <f ca="1">IF(SUMIF(A18:A27,A12,F18:F27)-SUMIF(A18:A27,A12,E18:E27)&gt;I12,"UNCONSCIOUS","")</f>
        <v>UNCONSCIOUS</v>
      </c>
      <c r="K12" s="2"/>
      <c r="N12" s="8">
        <v>8</v>
      </c>
      <c r="O12" t="s">
        <v>157</v>
      </c>
      <c r="Q12" s="8" cm="1">
        <f t="array" aca="1" ref="Q12" ca="1">16.1*INDIRECT("'"&amp;$B$18&amp;"'!F28")</f>
        <v>9.2575000000000003</v>
      </c>
      <c r="U12" t="s">
        <v>155</v>
      </c>
      <c r="V12" t="s">
        <v>165</v>
      </c>
      <c r="W12" t="s">
        <v>169</v>
      </c>
      <c r="X12" t="s">
        <v>120</v>
      </c>
      <c r="Y12" s="8">
        <f>42.6-21</f>
        <v>21.6</v>
      </c>
    </row>
    <row r="13" spans="1:2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N13" s="8">
        <v>9</v>
      </c>
      <c r="O13" t="s">
        <v>157</v>
      </c>
      <c r="P13" t="s">
        <v>149</v>
      </c>
      <c r="Q13" s="8">
        <v>0</v>
      </c>
      <c r="U13" t="s">
        <v>156</v>
      </c>
      <c r="V13" t="s">
        <v>166</v>
      </c>
      <c r="W13" t="s">
        <v>166</v>
      </c>
      <c r="X13" t="s">
        <v>7</v>
      </c>
      <c r="Y13" s="8">
        <f>36.4-29.3</f>
        <v>7.0999999999999979</v>
      </c>
    </row>
    <row r="14" spans="1:25" x14ac:dyDescent="0.25">
      <c r="N14" s="8">
        <v>10</v>
      </c>
      <c r="Q14" s="8"/>
      <c r="U14" t="s">
        <v>149</v>
      </c>
      <c r="V14" t="s">
        <v>167</v>
      </c>
      <c r="W14" t="s">
        <v>170</v>
      </c>
      <c r="X14" t="s">
        <v>9</v>
      </c>
      <c r="Y14" s="8">
        <f>41.4-25.7</f>
        <v>15.7</v>
      </c>
    </row>
    <row r="15" spans="1:25" x14ac:dyDescent="0.25">
      <c r="N15" s="8">
        <v>11</v>
      </c>
      <c r="O15" t="s">
        <v>157</v>
      </c>
      <c r="Q15" s="8" cm="1">
        <f t="array" aca="1" ref="Q15" ca="1">8.4*INDIRECT("'"&amp;$B$18&amp;"'!F28")</f>
        <v>4.83</v>
      </c>
      <c r="U15" t="s">
        <v>157</v>
      </c>
      <c r="V15" t="s">
        <v>164</v>
      </c>
      <c r="W15" t="s">
        <v>169</v>
      </c>
      <c r="X15" t="s">
        <v>20</v>
      </c>
      <c r="Y15" s="8">
        <f>38.7-37.8</f>
        <v>0.90000000000000568</v>
      </c>
    </row>
    <row r="16" spans="1:25" x14ac:dyDescent="0.25">
      <c r="N16" s="8">
        <v>12</v>
      </c>
      <c r="O16" t="s">
        <v>157</v>
      </c>
      <c r="Q16" s="8" cm="1">
        <f t="array" aca="1" ref="Q16" ca="1">20.2*INDIRECT("'"&amp;$B$18&amp;"'!F28")</f>
        <v>11.614999999999998</v>
      </c>
      <c r="U16" t="s">
        <v>157</v>
      </c>
      <c r="V16" t="s">
        <v>166</v>
      </c>
      <c r="W16" t="s">
        <v>166</v>
      </c>
      <c r="X16" t="s">
        <v>7</v>
      </c>
      <c r="Y16" s="8">
        <f>49.6-48</f>
        <v>1.6000000000000014</v>
      </c>
    </row>
    <row r="17" spans="1:19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134</v>
      </c>
      <c r="J17" s="12" t="s">
        <v>147</v>
      </c>
      <c r="K17" s="11"/>
      <c r="L17" s="11"/>
      <c r="M17" s="11"/>
      <c r="N17" s="8">
        <v>13</v>
      </c>
      <c r="O17" t="s">
        <v>157</v>
      </c>
      <c r="Q17" s="8" cm="1">
        <f t="array" aca="1" ref="Q17" ca="1">13.1*INDIRECT("'"&amp;$B$18&amp;"'!F28")</f>
        <v>7.5324999999999989</v>
      </c>
    </row>
    <row r="18" spans="1:19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ca="1">F18-SUMIF(P:P,A18,Q:Q)</f>
        <v>-6.6999999999999886</v>
      </c>
      <c r="F18" s="8" cm="1">
        <f t="array" aca="1" ref="F18" ca="1">INDIRECT("'"&amp;$B18&amp;"'!F9")</f>
        <v>241.5</v>
      </c>
      <c r="G18" s="8">
        <f ca="1">H18-SUMIF(O:O,A18,R:R)-SUMIF(P:P,A18,S:S)</f>
        <v>-0.33333333333333215</v>
      </c>
      <c r="H18" s="8" cm="1">
        <f t="array" aca="1" ref="H18" ca="1">INDIRECT("'"&amp;$B18&amp;"'!F22")</f>
        <v>28.666666666666668</v>
      </c>
      <c r="I18" s="8"/>
      <c r="N18" s="8">
        <v>14</v>
      </c>
      <c r="O18" t="s">
        <v>157</v>
      </c>
      <c r="P18" t="s">
        <v>149</v>
      </c>
      <c r="Q18" s="8">
        <v>52.7</v>
      </c>
      <c r="R18" s="17">
        <v>1</v>
      </c>
      <c r="S18" s="17">
        <v>18</v>
      </c>
    </row>
    <row r="19" spans="1:19" x14ac:dyDescent="0.25">
      <c r="A19" t="s">
        <v>148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F19-SUMIF(P:P,A19,Q:Q)</f>
        <v>100</v>
      </c>
      <c r="F19" s="8" cm="1">
        <f t="array" aca="1" ref="F19" ca="1">INDIRECT("'"&amp;$B19&amp;"'!F9")</f>
        <v>147</v>
      </c>
      <c r="G19" s="8">
        <f ca="1">H19-SUMIF(O:O,A19,R:R)-SUMIF(P:P,A19,S:S)</f>
        <v>20.166666666666664</v>
      </c>
      <c r="H19" s="8" cm="1">
        <f t="array" aca="1" ref="H19" ca="1">INDIRECT("'"&amp;$B19&amp;"'!F22")</f>
        <v>59.166666666666664</v>
      </c>
      <c r="I19" s="8"/>
      <c r="J19" s="8" cm="1">
        <f t="array" aca="1" ref="J19" ca="1">MAX(0,100-(MAX(N:N)-1)*INDIRECT("'"&amp;$B19&amp;"'!F12"))</f>
        <v>0</v>
      </c>
      <c r="K19" s="8"/>
      <c r="L19" s="8"/>
      <c r="M19" s="8"/>
      <c r="N19" s="8">
        <v>15</v>
      </c>
      <c r="Q19" s="8"/>
    </row>
    <row r="20" spans="1:19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F20-SUMIF(P:P,A20,Q:Q)</f>
        <v>52.900000000000006</v>
      </c>
      <c r="F20" s="8" cm="1">
        <f t="array" aca="1" ref="F20" ca="1">INDIRECT("'"&amp;$B20&amp;"'!F9")</f>
        <v>147</v>
      </c>
      <c r="G20" s="8">
        <f ca="1">H20-SUMIF(O:O,A20,R:R)-SUMIF(P:P,A20,S:S)</f>
        <v>41.166666666666664</v>
      </c>
      <c r="H20" s="8" cm="1">
        <f t="array" aca="1" ref="H20" ca="1">INDIRECT("'"&amp;$B20&amp;"'!F22")</f>
        <v>59.166666666666664</v>
      </c>
      <c r="I20" s="8" t="s">
        <v>135</v>
      </c>
      <c r="J20" s="8" cm="1">
        <f t="array" aca="1" ref="J20" ca="1">MAX(0,100-(50-1)*INDIRECT("'"&amp;$B20&amp;"'!F12"))</f>
        <v>8.0433333333333366</v>
      </c>
      <c r="K20" s="8"/>
      <c r="L20" s="8"/>
      <c r="M20" s="8"/>
      <c r="N20" s="8">
        <v>16</v>
      </c>
      <c r="O20" t="s">
        <v>157</v>
      </c>
      <c r="Q20" s="8" cm="1">
        <f t="array" aca="1" ref="Q20" ca="1">8.5*INDIRECT("'"&amp;$B$18&amp;"'!F28")</f>
        <v>4.8874999999999993</v>
      </c>
    </row>
    <row r="21" spans="1:19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F21-SUMIF(P:P,A21,Q:Q)</f>
        <v>97.1</v>
      </c>
      <c r="F21" s="8" cm="1">
        <f t="array" aca="1" ref="F21" ca="1">INDIRECT("'"&amp;$B21&amp;"'!F9")</f>
        <v>147</v>
      </c>
      <c r="G21" s="8">
        <f ca="1">H21-SUMIF(O:O,A21,R:R)-SUMIF(P:P,A21,S:S)</f>
        <v>51.166666666666664</v>
      </c>
      <c r="H21" s="8" cm="1">
        <f t="array" aca="1" ref="H21" ca="1">INDIRECT("'"&amp;$B21&amp;"'!F22")</f>
        <v>59.166666666666664</v>
      </c>
      <c r="I21" s="8" t="s">
        <v>135</v>
      </c>
      <c r="J21" s="8" cm="1">
        <f t="array" aca="1" ref="J21" ca="1">MAX(0,100-19*INDIRECT("'"&amp;$B21&amp;"'!F12"))</f>
        <v>64.343333333333334</v>
      </c>
      <c r="K21" s="8"/>
      <c r="L21" s="8"/>
      <c r="M21" s="8"/>
      <c r="N21" s="8">
        <v>17</v>
      </c>
      <c r="O21" t="s">
        <v>157</v>
      </c>
      <c r="Q21" s="8" cm="1">
        <f t="array" aca="1" ref="Q21" ca="1">14.5*INDIRECT("'"&amp;$B$18&amp;"'!F28")</f>
        <v>8.3374999999999986</v>
      </c>
    </row>
    <row r="22" spans="1:19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F22-SUMIF(P:P,A22,Q:Q)</f>
        <v>100.2</v>
      </c>
      <c r="F22" s="8" cm="1">
        <f t="array" aca="1" ref="F22" ca="1">INDIRECT("'"&amp;$B22&amp;"'!F9")</f>
        <v>147</v>
      </c>
      <c r="G22" s="8">
        <f ca="1">H22-SUMIF(O:O,A22,R:R)-SUMIF(P:P,A22,S:S)</f>
        <v>42.166666666666664</v>
      </c>
      <c r="H22" s="8" cm="1">
        <f t="array" aca="1" ref="H22" ca="1">INDIRECT("'"&amp;$B22&amp;"'!F22")</f>
        <v>59.166666666666664</v>
      </c>
      <c r="I22" s="8"/>
      <c r="J22" s="8" cm="1">
        <f t="array" aca="1" ref="J22" ca="1">MAX(0,100-(MAX(N:N)-1)*INDIRECT("'"&amp;$B22&amp;"'!F12"))</f>
        <v>0</v>
      </c>
      <c r="K22" s="8"/>
      <c r="L22" s="8"/>
      <c r="M22" s="8"/>
      <c r="N22" s="8">
        <v>18</v>
      </c>
      <c r="O22" t="s">
        <v>157</v>
      </c>
      <c r="Q22" s="8" cm="1">
        <f t="array" aca="1" ref="Q22" ca="1">16.7*INDIRECT("'"&amp;$B$18&amp;"'!F28")</f>
        <v>9.6024999999999991</v>
      </c>
    </row>
    <row r="23" spans="1:19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F23-SUMIF(P:P,A23,Q:Q)</f>
        <v>106.8</v>
      </c>
      <c r="F23" s="8" cm="1">
        <f t="array" aca="1" ref="F23" ca="1">INDIRECT("'"&amp;$B23&amp;"'!F9")</f>
        <v>147</v>
      </c>
      <c r="G23" s="8">
        <f ca="1">H23-SUMIF(O:O,A23,R:R)-SUMIF(P:P,A23,S:S)</f>
        <v>39.166666666666664</v>
      </c>
      <c r="H23" s="8" cm="1">
        <f t="array" aca="1" ref="H23" ca="1">INDIRECT("'"&amp;$B23&amp;"'!F22")</f>
        <v>59.166666666666664</v>
      </c>
      <c r="I23" s="8"/>
      <c r="J23" s="8" cm="1">
        <f t="array" aca="1" ref="J23" ca="1">MAX(0,100-(MAX(N:N)-1)*INDIRECT("'"&amp;$B23&amp;"'!F12"))</f>
        <v>0</v>
      </c>
      <c r="K23" s="8"/>
      <c r="L23" s="8"/>
      <c r="M23" s="8"/>
      <c r="N23" s="8">
        <v>19</v>
      </c>
      <c r="O23" t="s">
        <v>157</v>
      </c>
      <c r="P23" t="s">
        <v>150</v>
      </c>
      <c r="Q23" s="8">
        <v>49.9</v>
      </c>
      <c r="R23" s="17">
        <v>2</v>
      </c>
      <c r="S23" s="17">
        <v>8</v>
      </c>
    </row>
    <row r="24" spans="1:19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F24-SUMIF(P:P,A24,Q:Q)</f>
        <v>111.9</v>
      </c>
      <c r="F24" s="8" cm="1">
        <f t="array" aca="1" ref="F24" ca="1">INDIRECT("'"&amp;$B24&amp;"'!F9")</f>
        <v>147</v>
      </c>
      <c r="G24" s="8">
        <f ca="1">H24-SUMIF(O:O,A24,R:R)-SUMIF(P:P,A24,S:S)</f>
        <v>16.166666666666664</v>
      </c>
      <c r="H24" s="8" cm="1">
        <f t="array" aca="1" ref="H24" ca="1">INDIRECT("'"&amp;$B24&amp;"'!F22")</f>
        <v>59.166666666666664</v>
      </c>
      <c r="I24" s="8"/>
      <c r="J24" s="8" cm="1">
        <f t="array" aca="1" ref="J24" ca="1">MAX(0,100-(MAX(N:N)-1)*INDIRECT("'"&amp;$B24&amp;"'!F12"))</f>
        <v>0</v>
      </c>
      <c r="K24" s="8"/>
      <c r="L24" s="8"/>
      <c r="M24" s="8"/>
      <c r="N24" s="8">
        <v>20</v>
      </c>
      <c r="Q24" s="8"/>
    </row>
    <row r="25" spans="1:19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F25-SUMIF(P:P,A25,Q:Q)</f>
        <v>98.1</v>
      </c>
      <c r="F25" s="8" cm="1">
        <f t="array" aca="1" ref="F25" ca="1">INDIRECT("'"&amp;$B25&amp;"'!F9")</f>
        <v>147</v>
      </c>
      <c r="G25" s="8">
        <f ca="1">H25-SUMIF(O:O,A25,R:R)-SUMIF(P:P,A25,S:S)</f>
        <v>39.166666666666664</v>
      </c>
      <c r="H25" s="8" cm="1">
        <f t="array" aca="1" ref="H25" ca="1">INDIRECT("'"&amp;$B25&amp;"'!F22")</f>
        <v>59.166666666666664</v>
      </c>
      <c r="I25" s="8"/>
      <c r="J25" s="8" cm="1">
        <f t="array" aca="1" ref="J25" ca="1">MAX(0,100-(MAX(N:N)-1)*INDIRECT("'"&amp;$B25&amp;"'!F12"))</f>
        <v>0</v>
      </c>
      <c r="K25" s="8"/>
      <c r="L25" s="8"/>
      <c r="M25" s="8"/>
      <c r="N25" s="8">
        <v>21</v>
      </c>
      <c r="O25" t="s">
        <v>157</v>
      </c>
      <c r="P25" t="s">
        <v>151</v>
      </c>
      <c r="Q25" s="8">
        <v>46.8</v>
      </c>
      <c r="R25" s="17">
        <v>1</v>
      </c>
      <c r="S25" s="17">
        <v>3</v>
      </c>
    </row>
    <row r="26" spans="1:19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F26-SUMIF(P:P,A26,Q:Q)</f>
        <v>104.4</v>
      </c>
      <c r="F26" s="8" cm="1">
        <f t="array" aca="1" ref="F26" ca="1">INDIRECT("'"&amp;$B26&amp;"'!F9")</f>
        <v>147</v>
      </c>
      <c r="G26" s="8">
        <f ca="1">H26-SUMIF(O:O,A26,R:R)-SUMIF(P:P,A26,S:S)</f>
        <v>30.166666666666664</v>
      </c>
      <c r="H26" s="8" cm="1">
        <f t="array" aca="1" ref="H26" ca="1">INDIRECT("'"&amp;$B26&amp;"'!F22")</f>
        <v>59.166666666666664</v>
      </c>
      <c r="I26" s="8"/>
      <c r="J26" s="8" cm="1">
        <f t="array" aca="1" ref="J26" ca="1">MAX(0,100-(MAX(N:N)-1)*INDIRECT("'"&amp;$B26&amp;"'!F12"))</f>
        <v>0</v>
      </c>
      <c r="K26" s="8"/>
      <c r="L26" s="8"/>
      <c r="M26" s="8"/>
      <c r="N26" s="8">
        <v>22</v>
      </c>
      <c r="Q26" s="8"/>
    </row>
    <row r="27" spans="1:19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F27-SUMIF(P:P,A27,Q:Q)</f>
        <v>110.6</v>
      </c>
      <c r="F27" s="8" cm="1">
        <f t="array" aca="1" ref="F27" ca="1">INDIRECT("'"&amp;$B27&amp;"'!F9")</f>
        <v>147</v>
      </c>
      <c r="G27" s="8">
        <f ca="1">H27-SUMIF(O:O,A27,R:R)-SUMIF(P:P,A27,S:S)</f>
        <v>21.166666666666664</v>
      </c>
      <c r="H27" s="8" cm="1">
        <f t="array" aca="1" ref="H27" ca="1">INDIRECT("'"&amp;$B27&amp;"'!F22")</f>
        <v>59.166666666666664</v>
      </c>
      <c r="I27" s="8"/>
      <c r="J27" s="8" cm="1">
        <f t="array" aca="1" ref="J27" ca="1">MAX(0,100-(MAX(N:N)-1)*INDIRECT("'"&amp;$B27&amp;"'!F12"))</f>
        <v>0</v>
      </c>
      <c r="K27" s="8"/>
      <c r="L27" s="8"/>
      <c r="M27" s="8"/>
      <c r="N27" s="8">
        <v>23</v>
      </c>
      <c r="O27" t="s">
        <v>157</v>
      </c>
      <c r="P27" t="s">
        <v>152</v>
      </c>
      <c r="Q27" s="8">
        <v>0</v>
      </c>
    </row>
    <row r="28" spans="1:19" x14ac:dyDescent="0.25">
      <c r="N28" s="8">
        <v>24</v>
      </c>
      <c r="Q28" s="8"/>
    </row>
    <row r="29" spans="1:19" hidden="1" x14ac:dyDescent="0.25">
      <c r="N29" s="8">
        <v>25</v>
      </c>
      <c r="O29" t="s">
        <v>157</v>
      </c>
      <c r="P29" t="s">
        <v>152</v>
      </c>
      <c r="Q29" s="8">
        <v>0</v>
      </c>
    </row>
    <row r="30" spans="1:19" hidden="1" x14ac:dyDescent="0.25">
      <c r="N30" s="8">
        <v>26</v>
      </c>
      <c r="Q30" s="8"/>
    </row>
    <row r="31" spans="1:19" hidden="1" x14ac:dyDescent="0.25">
      <c r="N31" s="8">
        <v>27</v>
      </c>
      <c r="O31" t="s">
        <v>157</v>
      </c>
      <c r="Q31" s="8" cm="1">
        <f t="array" aca="1" ref="Q31" ca="1">12.1*INDIRECT("'"&amp;$B$18&amp;"'!F28")</f>
        <v>6.9574999999999996</v>
      </c>
    </row>
    <row r="32" spans="1:19" hidden="1" x14ac:dyDescent="0.25">
      <c r="N32" s="8">
        <v>28</v>
      </c>
      <c r="O32" t="s">
        <v>157</v>
      </c>
      <c r="Q32" s="8" cm="1">
        <f t="array" aca="1" ref="Q32" ca="1">21.9*INDIRECT("'"&amp;$B$18&amp;"'!F28")</f>
        <v>12.592499999999998</v>
      </c>
    </row>
    <row r="33" spans="14:19" hidden="1" x14ac:dyDescent="0.25">
      <c r="N33" s="8">
        <v>29</v>
      </c>
      <c r="O33" t="s">
        <v>157</v>
      </c>
      <c r="Q33" s="8" cm="1">
        <f t="array" aca="1" ref="Q33" ca="1">11.7*INDIRECT("'"&amp;$B$18&amp;"'!F28")</f>
        <v>6.7274999999999991</v>
      </c>
    </row>
    <row r="34" spans="14:19" hidden="1" x14ac:dyDescent="0.25">
      <c r="N34" s="8">
        <v>30</v>
      </c>
      <c r="O34" t="s">
        <v>157</v>
      </c>
      <c r="P34" t="s">
        <v>152</v>
      </c>
      <c r="Q34" s="8">
        <v>40.200000000000003</v>
      </c>
      <c r="R34" s="17">
        <v>5</v>
      </c>
    </row>
    <row r="35" spans="14:19" hidden="1" x14ac:dyDescent="0.25">
      <c r="N35" s="8">
        <v>31</v>
      </c>
      <c r="Q35" s="8"/>
    </row>
    <row r="36" spans="14:19" hidden="1" x14ac:dyDescent="0.25">
      <c r="N36" s="8">
        <v>32</v>
      </c>
      <c r="O36" t="s">
        <v>157</v>
      </c>
      <c r="P36" t="s">
        <v>153</v>
      </c>
      <c r="Q36" s="8">
        <v>35.1</v>
      </c>
      <c r="R36" s="17">
        <v>1</v>
      </c>
      <c r="S36" s="17">
        <v>2</v>
      </c>
    </row>
    <row r="37" spans="14:19" hidden="1" x14ac:dyDescent="0.25">
      <c r="N37" s="8">
        <v>33</v>
      </c>
      <c r="Q37" s="8"/>
    </row>
    <row r="38" spans="14:19" hidden="1" x14ac:dyDescent="0.25">
      <c r="N38" s="8">
        <v>34</v>
      </c>
      <c r="O38" t="s">
        <v>157</v>
      </c>
      <c r="P38" t="s">
        <v>154</v>
      </c>
      <c r="Q38" s="8">
        <v>48.9</v>
      </c>
      <c r="R38" s="17">
        <v>1</v>
      </c>
      <c r="S38" s="17">
        <v>2</v>
      </c>
    </row>
    <row r="39" spans="14:19" hidden="1" x14ac:dyDescent="0.25">
      <c r="N39" s="8">
        <v>35</v>
      </c>
      <c r="Q39" s="8"/>
    </row>
    <row r="40" spans="14:19" hidden="1" x14ac:dyDescent="0.25">
      <c r="N40" s="8">
        <v>36</v>
      </c>
      <c r="O40" t="s">
        <v>157</v>
      </c>
      <c r="P40" t="s">
        <v>155</v>
      </c>
      <c r="Q40" s="8">
        <v>0</v>
      </c>
    </row>
    <row r="41" spans="14:19" hidden="1" x14ac:dyDescent="0.25">
      <c r="N41" s="8">
        <v>37</v>
      </c>
      <c r="Q41" s="8"/>
    </row>
    <row r="42" spans="14:19" hidden="1" x14ac:dyDescent="0.25">
      <c r="N42" s="8">
        <v>38</v>
      </c>
      <c r="O42" t="s">
        <v>157</v>
      </c>
      <c r="Q42" s="8" cm="1">
        <f t="array" aca="1" ref="Q42" ca="1">20.9*INDIRECT("'"&amp;$B$18&amp;"'!F28")</f>
        <v>12.017499999999998</v>
      </c>
    </row>
    <row r="43" spans="14:19" hidden="1" x14ac:dyDescent="0.25">
      <c r="N43" s="8">
        <v>39</v>
      </c>
      <c r="O43" t="s">
        <v>157</v>
      </c>
      <c r="Q43" s="8" cm="1">
        <f t="array" aca="1" ref="Q43" ca="1">8.1*INDIRECT("'"&amp;$B$18&amp;"'!F28")</f>
        <v>4.6574999999999998</v>
      </c>
    </row>
    <row r="44" spans="14:19" hidden="1" x14ac:dyDescent="0.25">
      <c r="N44" s="8">
        <v>40</v>
      </c>
      <c r="O44" t="s">
        <v>157</v>
      </c>
      <c r="Q44" s="8" cm="1">
        <f t="array" aca="1" ref="Q44" ca="1">21*INDIRECT("'"&amp;$B$18&amp;"'!F28")</f>
        <v>12.074999999999999</v>
      </c>
    </row>
    <row r="45" spans="14:19" hidden="1" x14ac:dyDescent="0.25">
      <c r="N45" s="8">
        <v>41</v>
      </c>
      <c r="O45" t="s">
        <v>157</v>
      </c>
      <c r="P45" t="s">
        <v>155</v>
      </c>
      <c r="Q45" s="8">
        <v>42.6</v>
      </c>
      <c r="R45" s="17">
        <v>2</v>
      </c>
      <c r="S45" s="17">
        <v>7</v>
      </c>
    </row>
    <row r="46" spans="14:19" hidden="1" x14ac:dyDescent="0.25">
      <c r="N46" s="8">
        <v>42</v>
      </c>
      <c r="Q46" s="8"/>
    </row>
    <row r="47" spans="14:19" hidden="1" x14ac:dyDescent="0.25">
      <c r="N47" s="8">
        <v>43</v>
      </c>
      <c r="O47" t="s">
        <v>157</v>
      </c>
      <c r="P47" t="s">
        <v>156</v>
      </c>
      <c r="Q47" s="8">
        <v>36.4</v>
      </c>
      <c r="R47" s="17">
        <v>1</v>
      </c>
      <c r="S47" s="17">
        <v>4</v>
      </c>
    </row>
    <row r="48" spans="14:19" hidden="1" x14ac:dyDescent="0.25">
      <c r="N48" s="8">
        <v>44</v>
      </c>
      <c r="Q48" s="8"/>
    </row>
    <row r="49" spans="14:18" hidden="1" x14ac:dyDescent="0.25">
      <c r="N49" s="8">
        <v>45</v>
      </c>
      <c r="O49" t="s">
        <v>157</v>
      </c>
      <c r="P49" t="s">
        <v>149</v>
      </c>
      <c r="Q49">
        <v>0</v>
      </c>
    </row>
    <row r="50" spans="14:18" hidden="1" x14ac:dyDescent="0.25">
      <c r="N50" s="8">
        <v>46</v>
      </c>
    </row>
    <row r="51" spans="14:18" hidden="1" x14ac:dyDescent="0.25">
      <c r="N51" s="8">
        <v>47</v>
      </c>
      <c r="O51" t="s">
        <v>157</v>
      </c>
      <c r="Q51" s="8" cm="1">
        <f t="array" aca="1" ref="Q51" ca="1">15.6*INDIRECT("'"&amp;$B$18&amp;"'!F28")</f>
        <v>8.9699999999999989</v>
      </c>
    </row>
    <row r="52" spans="14:18" hidden="1" x14ac:dyDescent="0.25">
      <c r="N52" s="8">
        <v>48</v>
      </c>
      <c r="O52" t="s">
        <v>157</v>
      </c>
      <c r="Q52" s="8" cm="1">
        <f t="array" aca="1" ref="Q52" ca="1">21.3*INDIRECT("'"&amp;$B$18&amp;"'!F28")</f>
        <v>12.247499999999999</v>
      </c>
    </row>
    <row r="53" spans="14:18" hidden="1" x14ac:dyDescent="0.25">
      <c r="N53" s="8">
        <v>49</v>
      </c>
      <c r="O53" t="s">
        <v>157</v>
      </c>
      <c r="Q53" s="8" cm="1">
        <f t="array" aca="1" ref="Q53" ca="1">15*INDIRECT("'"&amp;$B$18&amp;"'!F28")</f>
        <v>8.625</v>
      </c>
    </row>
    <row r="54" spans="14:18" hidden="1" x14ac:dyDescent="0.25">
      <c r="N54" s="8">
        <v>50</v>
      </c>
      <c r="O54" t="s">
        <v>157</v>
      </c>
      <c r="P54" t="s">
        <v>149</v>
      </c>
      <c r="Q54">
        <v>41.4</v>
      </c>
      <c r="R54" s="17">
        <v>9</v>
      </c>
    </row>
    <row r="55" spans="14:18" hidden="1" x14ac:dyDescent="0.25">
      <c r="N55" s="8">
        <v>51</v>
      </c>
    </row>
    <row r="56" spans="14:18" hidden="1" x14ac:dyDescent="0.25">
      <c r="N56" s="8">
        <v>52</v>
      </c>
      <c r="O56" t="s">
        <v>157</v>
      </c>
      <c r="P56" t="s">
        <v>151</v>
      </c>
      <c r="Q56">
        <v>0</v>
      </c>
    </row>
    <row r="57" spans="14:18" hidden="1" x14ac:dyDescent="0.25">
      <c r="N57" s="8">
        <v>53</v>
      </c>
    </row>
    <row r="58" spans="14:18" hidden="1" x14ac:dyDescent="0.25">
      <c r="N58" s="8">
        <v>54</v>
      </c>
      <c r="O58" t="s">
        <v>157</v>
      </c>
      <c r="P58" t="s">
        <v>151</v>
      </c>
      <c r="Q58">
        <v>0</v>
      </c>
    </row>
    <row r="59" spans="14:18" hidden="1" x14ac:dyDescent="0.25">
      <c r="N59" s="8">
        <v>54.1</v>
      </c>
      <c r="O59" t="s">
        <v>148</v>
      </c>
      <c r="P59" t="s">
        <v>157</v>
      </c>
      <c r="Q59">
        <v>9.1</v>
      </c>
      <c r="R59" s="17">
        <v>18</v>
      </c>
    </row>
    <row r="60" spans="14:18" hidden="1" x14ac:dyDescent="0.25">
      <c r="N60" s="8">
        <v>54.2</v>
      </c>
      <c r="O60" t="s">
        <v>151</v>
      </c>
      <c r="P60" t="s">
        <v>157</v>
      </c>
      <c r="Q60">
        <v>8.5</v>
      </c>
      <c r="R60" s="17">
        <v>4</v>
      </c>
    </row>
    <row r="61" spans="14:18" hidden="1" x14ac:dyDescent="0.25">
      <c r="N61" s="8">
        <v>54.3</v>
      </c>
      <c r="O61" t="s">
        <v>152</v>
      </c>
      <c r="P61" t="s">
        <v>157</v>
      </c>
      <c r="Q61">
        <v>13.3</v>
      </c>
      <c r="R61" s="17">
        <v>5</v>
      </c>
    </row>
    <row r="62" spans="14:18" hidden="1" x14ac:dyDescent="0.25">
      <c r="N62" s="8">
        <v>54.4</v>
      </c>
      <c r="O62" t="s">
        <v>153</v>
      </c>
      <c r="P62" t="s">
        <v>157</v>
      </c>
      <c r="Q62">
        <v>13.6</v>
      </c>
      <c r="R62" s="17">
        <v>5</v>
      </c>
    </row>
    <row r="63" spans="14:18" x14ac:dyDescent="0.25">
      <c r="N63" s="8">
        <v>54.5</v>
      </c>
      <c r="O63" t="s">
        <v>154</v>
      </c>
      <c r="P63" t="s">
        <v>157</v>
      </c>
      <c r="Q63">
        <v>8.8000000000000007</v>
      </c>
      <c r="R63" s="17">
        <v>9</v>
      </c>
    </row>
    <row r="64" spans="14:18" x14ac:dyDescent="0.25">
      <c r="N64" s="8">
        <v>54.6</v>
      </c>
      <c r="O64" t="s">
        <v>155</v>
      </c>
      <c r="P64" t="s">
        <v>157</v>
      </c>
      <c r="Q64">
        <v>38.700000000000003</v>
      </c>
      <c r="R64" s="17">
        <v>22</v>
      </c>
    </row>
    <row r="65" spans="14:19" x14ac:dyDescent="0.25">
      <c r="N65" s="8">
        <v>54.7</v>
      </c>
      <c r="O65" t="s">
        <v>156</v>
      </c>
      <c r="P65" t="s">
        <v>157</v>
      </c>
      <c r="Q65">
        <v>49.6</v>
      </c>
      <c r="R65" s="17">
        <v>28</v>
      </c>
    </row>
    <row r="66" spans="14:19" x14ac:dyDescent="0.25">
      <c r="N66" s="8">
        <v>55</v>
      </c>
      <c r="O66" t="s">
        <v>148</v>
      </c>
      <c r="P66" t="s">
        <v>157</v>
      </c>
      <c r="Q66">
        <v>9.1999999999999993</v>
      </c>
      <c r="R66" s="17">
        <v>9</v>
      </c>
    </row>
    <row r="67" spans="14:19" x14ac:dyDescent="0.25">
      <c r="N67" s="23">
        <v>55.1</v>
      </c>
      <c r="O67" s="24" t="s">
        <v>151</v>
      </c>
      <c r="P67" s="24" t="s">
        <v>157</v>
      </c>
      <c r="Q67" s="24">
        <v>9.9</v>
      </c>
      <c r="R67" s="29"/>
      <c r="S67" s="25">
        <v>1</v>
      </c>
    </row>
    <row r="68" spans="14:19" x14ac:dyDescent="0.25">
      <c r="N68" s="8">
        <v>55.2</v>
      </c>
      <c r="O68" t="s">
        <v>152</v>
      </c>
      <c r="P68" t="s">
        <v>157</v>
      </c>
      <c r="Q68" s="26">
        <v>15</v>
      </c>
      <c r="R68" s="17">
        <v>5</v>
      </c>
    </row>
    <row r="69" spans="14:19" x14ac:dyDescent="0.25">
      <c r="N69" s="8">
        <v>55.3</v>
      </c>
      <c r="O69" t="s">
        <v>153</v>
      </c>
      <c r="P69" t="s">
        <v>157</v>
      </c>
      <c r="Q69" s="26">
        <v>9.1999999999999993</v>
      </c>
      <c r="R69" s="17">
        <v>17</v>
      </c>
    </row>
    <row r="70" spans="14:19" x14ac:dyDescent="0.25">
      <c r="N70" s="8">
        <v>55.4</v>
      </c>
      <c r="O70" t="s">
        <v>154</v>
      </c>
      <c r="P70" t="s">
        <v>157</v>
      </c>
      <c r="Q70" s="26">
        <v>10</v>
      </c>
      <c r="R70" s="17">
        <v>8</v>
      </c>
    </row>
    <row r="71" spans="14:19" x14ac:dyDescent="0.25">
      <c r="N71" s="8">
        <v>55.5</v>
      </c>
      <c r="O71" t="s">
        <v>155</v>
      </c>
      <c r="P71" t="s">
        <v>157</v>
      </c>
      <c r="Q71" s="26">
        <v>9</v>
      </c>
    </row>
    <row r="72" spans="14:19" x14ac:dyDescent="0.25">
      <c r="N72" s="8">
        <v>55.6</v>
      </c>
      <c r="O72" t="s">
        <v>156</v>
      </c>
      <c r="P72" t="s">
        <v>157</v>
      </c>
      <c r="Q72" s="26">
        <v>8.6999999999999993</v>
      </c>
      <c r="R72" s="17">
        <v>6</v>
      </c>
    </row>
    <row r="73" spans="14:19" x14ac:dyDescent="0.25">
      <c r="N73" s="8">
        <v>56</v>
      </c>
      <c r="O73" t="s">
        <v>148</v>
      </c>
      <c r="P73" t="s">
        <v>157</v>
      </c>
      <c r="Q73" s="26">
        <v>8.8000000000000007</v>
      </c>
      <c r="R73" s="17">
        <v>10</v>
      </c>
    </row>
    <row r="74" spans="14:19" x14ac:dyDescent="0.25">
      <c r="N74" s="8">
        <v>56.1</v>
      </c>
      <c r="O74" t="s">
        <v>151</v>
      </c>
      <c r="P74" t="s">
        <v>157</v>
      </c>
      <c r="Q74" s="26">
        <v>8.9</v>
      </c>
      <c r="R74" s="17">
        <v>10</v>
      </c>
    </row>
    <row r="75" spans="14:19" x14ac:dyDescent="0.25">
      <c r="N75" s="8">
        <v>56.2</v>
      </c>
      <c r="O75" t="s">
        <v>152</v>
      </c>
      <c r="P75" t="s">
        <v>157</v>
      </c>
      <c r="Q75" s="26">
        <v>9.4</v>
      </c>
      <c r="R75" s="17">
        <v>10</v>
      </c>
    </row>
    <row r="76" spans="14:19" x14ac:dyDescent="0.25">
      <c r="N76" s="8">
        <v>56.3</v>
      </c>
      <c r="O76" t="s">
        <v>153</v>
      </c>
      <c r="P76" t="s">
        <v>157</v>
      </c>
      <c r="Q76" s="26">
        <v>0</v>
      </c>
      <c r="R76" s="17">
        <v>19</v>
      </c>
      <c r="S76" s="17">
        <v>1</v>
      </c>
    </row>
    <row r="77" spans="14:19" x14ac:dyDescent="0.25">
      <c r="N77" s="8">
        <v>56.4</v>
      </c>
      <c r="O77" t="s">
        <v>154</v>
      </c>
      <c r="P77" t="s">
        <v>157</v>
      </c>
      <c r="Q77" s="26">
        <v>8.5</v>
      </c>
      <c r="R77" s="17">
        <v>1</v>
      </c>
      <c r="S77" s="17">
        <v>2</v>
      </c>
    </row>
    <row r="78" spans="14:19" x14ac:dyDescent="0.25">
      <c r="Q78" s="26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19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U4:U1048576 O4:P8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A33113-B9B0-49B1-B43D-FB2911D89561}">
          <x14:formula1>
            <xm:f>'STAT COSTS'!$A:$A</xm:f>
          </x14:formula1>
          <xm:sqref>X4:X1048576</xm:sqref>
        </x14:dataValidation>
        <x14:dataValidation type="list" allowBlank="1" showInputMessage="1" showErrorMessage="1" xr:uid="{A885EF46-0AF2-4286-9343-FCB4475A2DF3}">
          <x14:formula1>
            <xm:f>'Wound Generator'!$A:$A</xm:f>
          </x14:formula1>
          <xm:sqref>V4:V1048576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20"/>
  </cols>
  <sheetData>
    <row r="1" spans="1:7" x14ac:dyDescent="0.25">
      <c r="A1">
        <f ca="1">RAND()*MAX(E:E)</f>
        <v>1255.324479261423</v>
      </c>
      <c r="B1">
        <f ca="1">SUMIFS(G:G,E:E,"&gt;="&amp;A1,F:F,"&lt;"&amp;A1)</f>
        <v>4</v>
      </c>
      <c r="E1"/>
    </row>
    <row r="3" spans="1:7" x14ac:dyDescent="0.25">
      <c r="A3" t="str">
        <f ca="1">LOOKUP($B$1,$G:$G,A:A)</f>
        <v>Belly</v>
      </c>
      <c r="B3" t="str">
        <f ca="1">LOOKUP($B$1,$G:$G,B:B)</f>
        <v>Front</v>
      </c>
      <c r="C3" t="str">
        <f ca="1">LOOKUP($B$1,$G:$G,C:C)</f>
        <v>Crit Factor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9" t="s">
        <v>184</v>
      </c>
      <c r="F5" s="21"/>
      <c r="G5" s="21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20">
        <f>D6</f>
        <v>100</v>
      </c>
      <c r="F6" s="20">
        <v>0</v>
      </c>
      <c r="G6" s="20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20">
        <f>D7+E6</f>
        <v>200</v>
      </c>
      <c r="F7" s="20">
        <f>E6</f>
        <v>100</v>
      </c>
      <c r="G7" s="20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20">
        <f t="shared" ref="E8:E34" si="0">D8+E7</f>
        <v>300</v>
      </c>
      <c r="F8" s="20">
        <f t="shared" ref="F8:F34" si="1">E7</f>
        <v>200</v>
      </c>
      <c r="G8" s="20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20">
        <f t="shared" si="0"/>
        <v>800</v>
      </c>
      <c r="F9" s="20">
        <f t="shared" si="1"/>
        <v>300</v>
      </c>
      <c r="G9" s="20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20">
        <f t="shared" si="0"/>
        <v>1300</v>
      </c>
      <c r="F10" s="20">
        <f t="shared" si="1"/>
        <v>800</v>
      </c>
      <c r="G10" s="20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20">
        <f t="shared" si="0"/>
        <v>1550</v>
      </c>
      <c r="F11" s="20">
        <f t="shared" si="1"/>
        <v>1300</v>
      </c>
      <c r="G11" s="20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20">
        <f t="shared" si="0"/>
        <v>1630</v>
      </c>
      <c r="F12" s="20">
        <f t="shared" si="1"/>
        <v>1550</v>
      </c>
      <c r="G12" s="20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20">
        <f t="shared" si="0"/>
        <v>1710</v>
      </c>
      <c r="F13" s="20">
        <f t="shared" si="1"/>
        <v>1630</v>
      </c>
      <c r="G13" s="20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20">
        <f t="shared" si="0"/>
        <v>1790</v>
      </c>
      <c r="F14" s="20">
        <f t="shared" si="1"/>
        <v>1710</v>
      </c>
      <c r="G14" s="20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20">
        <f t="shared" si="0"/>
        <v>1870</v>
      </c>
      <c r="F15" s="20">
        <f t="shared" si="1"/>
        <v>1790</v>
      </c>
      <c r="G15" s="20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20">
        <f t="shared" si="0"/>
        <v>1950</v>
      </c>
      <c r="F16" s="20">
        <f t="shared" si="1"/>
        <v>1870</v>
      </c>
      <c r="G16" s="20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20">
        <f t="shared" si="0"/>
        <v>2030</v>
      </c>
      <c r="F17" s="20">
        <f t="shared" si="1"/>
        <v>1950</v>
      </c>
      <c r="G17" s="20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20">
        <f t="shared" si="0"/>
        <v>2110</v>
      </c>
      <c r="F18" s="20">
        <f t="shared" si="1"/>
        <v>2030</v>
      </c>
      <c r="G18" s="20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20">
        <f t="shared" si="0"/>
        <v>2190</v>
      </c>
      <c r="F19" s="20">
        <f t="shared" si="1"/>
        <v>2110</v>
      </c>
      <c r="G19" s="20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20">
        <f t="shared" si="0"/>
        <v>2270</v>
      </c>
      <c r="F20" s="20">
        <f t="shared" si="1"/>
        <v>2190</v>
      </c>
      <c r="G20" s="20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20">
        <f t="shared" si="0"/>
        <v>2350</v>
      </c>
      <c r="F21" s="20">
        <f t="shared" si="1"/>
        <v>2270</v>
      </c>
      <c r="G21" s="20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20">
        <f t="shared" si="0"/>
        <v>2400</v>
      </c>
      <c r="F22" s="20">
        <f t="shared" si="1"/>
        <v>2350</v>
      </c>
      <c r="G22" s="20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20">
        <f t="shared" si="0"/>
        <v>2450</v>
      </c>
      <c r="F23" s="20">
        <f t="shared" si="1"/>
        <v>2400</v>
      </c>
      <c r="G23" s="20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20">
        <f t="shared" si="0"/>
        <v>2500</v>
      </c>
      <c r="F24" s="20">
        <f t="shared" si="1"/>
        <v>2450</v>
      </c>
      <c r="G24" s="20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20">
        <f t="shared" si="0"/>
        <v>2580</v>
      </c>
      <c r="F25" s="20">
        <f t="shared" si="1"/>
        <v>2500</v>
      </c>
      <c r="G25" s="20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20">
        <f t="shared" si="0"/>
        <v>2660</v>
      </c>
      <c r="F26" s="20">
        <f t="shared" si="1"/>
        <v>2580</v>
      </c>
      <c r="G26" s="20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20">
        <f t="shared" si="0"/>
        <v>2740</v>
      </c>
      <c r="F27" s="20">
        <f t="shared" si="1"/>
        <v>2660</v>
      </c>
      <c r="G27" s="20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20">
        <f t="shared" si="0"/>
        <v>2820</v>
      </c>
      <c r="F28" s="20">
        <f t="shared" si="1"/>
        <v>2740</v>
      </c>
      <c r="G28" s="20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20">
        <f t="shared" si="0"/>
        <v>2900</v>
      </c>
      <c r="F29" s="20">
        <f t="shared" si="1"/>
        <v>2820</v>
      </c>
      <c r="G29" s="20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20">
        <f t="shared" si="0"/>
        <v>2980</v>
      </c>
      <c r="F30" s="20">
        <f t="shared" si="1"/>
        <v>2900</v>
      </c>
      <c r="G30" s="20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20">
        <f t="shared" si="0"/>
        <v>3060</v>
      </c>
      <c r="F31" s="20">
        <f t="shared" si="1"/>
        <v>2980</v>
      </c>
      <c r="G31" s="20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20">
        <f t="shared" si="0"/>
        <v>3140</v>
      </c>
      <c r="F32" s="20">
        <f t="shared" si="1"/>
        <v>3060</v>
      </c>
      <c r="G32" s="20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20">
        <f t="shared" si="0"/>
        <v>3220</v>
      </c>
      <c r="F33" s="20">
        <f t="shared" si="1"/>
        <v>3140</v>
      </c>
      <c r="G33" s="20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20">
        <f t="shared" si="0"/>
        <v>3300</v>
      </c>
      <c r="F34" s="20">
        <f t="shared" si="1"/>
        <v>3220</v>
      </c>
      <c r="G34" s="20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H24" sqref="H24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2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3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4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>D30+E30</f>
        <v>2.2222222222222223</v>
      </c>
    </row>
    <row r="31" spans="1:6" x14ac:dyDescent="0.25">
      <c r="A31" t="s">
        <v>5</v>
      </c>
      <c r="B31" t="s">
        <v>68</v>
      </c>
      <c r="D31" s="8">
        <f>0</f>
        <v>0</v>
      </c>
      <c r="F31" s="8">
        <f>D31+E31</f>
        <v>0</v>
      </c>
    </row>
    <row r="32" spans="1:6" x14ac:dyDescent="0.25">
      <c r="A32" t="s">
        <v>6</v>
      </c>
      <c r="B32" t="s">
        <v>68</v>
      </c>
      <c r="D32" s="8">
        <f>0</f>
        <v>0</v>
      </c>
      <c r="E32" s="8">
        <v>20</v>
      </c>
      <c r="F32" s="8">
        <f>D32+E32</f>
        <v>20</v>
      </c>
    </row>
    <row r="33" spans="1:6" x14ac:dyDescent="0.25">
      <c r="A33" t="s">
        <v>7</v>
      </c>
      <c r="B33" t="s">
        <v>68</v>
      </c>
      <c r="D33" s="8">
        <f>0</f>
        <v>0</v>
      </c>
      <c r="F33" s="8">
        <f>D33+E33</f>
        <v>0</v>
      </c>
    </row>
    <row r="34" spans="1:6" x14ac:dyDescent="0.25">
      <c r="A34" t="s">
        <v>120</v>
      </c>
      <c r="B34" t="s">
        <v>68</v>
      </c>
      <c r="D34" s="8">
        <f>0</f>
        <v>0</v>
      </c>
      <c r="E34" s="8">
        <v>1</v>
      </c>
      <c r="F34" s="8">
        <f>D34+E34</f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E24" sqref="E24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2" t="s">
        <v>1</v>
      </c>
    </row>
    <row r="3" spans="1:15" x14ac:dyDescent="0.25">
      <c r="A3" t="s">
        <v>51</v>
      </c>
      <c r="B3">
        <v>21</v>
      </c>
      <c r="C3">
        <f>SUM(C9:C102)+SUM(J9:J102)</f>
        <v>1030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1.5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44.1</v>
      </c>
      <c r="F15" s="8">
        <f t="shared" si="1"/>
        <v>64.099999999999994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100</v>
      </c>
      <c r="D27" s="8">
        <f>$C27/LOOKUP($A27,'STAT COSTS'!$A:$A,'STAT COSTS'!$B:$B)</f>
        <v>0.5</v>
      </c>
      <c r="E27">
        <v>1</v>
      </c>
      <c r="F27" s="8">
        <f t="shared" si="1"/>
        <v>1.5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>D29+E29</f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>D30+E30</f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>D31+E31</f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>D32+E32</f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>D33+E33</f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2"/>
  <sheetViews>
    <sheetView workbookViewId="0">
      <selection activeCell="E12" sqref="E12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10" t="s">
        <v>95</v>
      </c>
      <c r="D2" s="10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3"/>
  <sheetViews>
    <sheetView workbookViewId="0">
      <selection activeCell="D22" sqref="D22"/>
    </sheetView>
  </sheetViews>
  <sheetFormatPr defaultRowHeight="15" x14ac:dyDescent="0.25"/>
  <cols>
    <col min="1" max="1" width="22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2</v>
      </c>
      <c r="B14">
        <v>10</v>
      </c>
    </row>
    <row r="15" spans="1:2" x14ac:dyDescent="0.25">
      <c r="A15" t="s">
        <v>11</v>
      </c>
      <c r="B15">
        <v>11</v>
      </c>
    </row>
    <row r="16" spans="1:2" x14ac:dyDescent="0.25">
      <c r="A16" t="s">
        <v>12</v>
      </c>
      <c r="B16">
        <v>4</v>
      </c>
    </row>
    <row r="17" spans="1:2" x14ac:dyDescent="0.25">
      <c r="A17" t="s">
        <v>124</v>
      </c>
      <c r="B17">
        <v>1000</v>
      </c>
    </row>
    <row r="18" spans="1:2" x14ac:dyDescent="0.25">
      <c r="A18" t="s">
        <v>21</v>
      </c>
      <c r="B18">
        <v>18</v>
      </c>
    </row>
    <row r="19" spans="1:2" x14ac:dyDescent="0.25">
      <c r="A19" t="s">
        <v>22</v>
      </c>
      <c r="B19">
        <v>8</v>
      </c>
    </row>
    <row r="20" spans="1:2" x14ac:dyDescent="0.25">
      <c r="A20" t="s">
        <v>15</v>
      </c>
      <c r="B20">
        <v>18</v>
      </c>
    </row>
    <row r="21" spans="1:2" x14ac:dyDescent="0.25">
      <c r="A21" t="s">
        <v>16</v>
      </c>
      <c r="B21">
        <v>10</v>
      </c>
    </row>
    <row r="22" spans="1:2" x14ac:dyDescent="0.25">
      <c r="A22" t="s">
        <v>17</v>
      </c>
      <c r="B22">
        <v>15</v>
      </c>
    </row>
    <row r="23" spans="1:2" x14ac:dyDescent="0.25">
      <c r="A23" t="s">
        <v>18</v>
      </c>
      <c r="B23">
        <v>50</v>
      </c>
    </row>
  </sheetData>
  <sortState xmlns:xlrd2="http://schemas.microsoft.com/office/spreadsheetml/2017/richdata2" ref="A4:B23">
    <sortCondition ref="A4:A2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2024-12-06T04:22:32Z</dcterms:modified>
</cp:coreProperties>
</file>
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26DA1857-1A3E-4831-A4E0-214E76B3BD25}" xr6:coauthVersionLast="47" xr6:coauthVersionMax="47" xr10:uidLastSave="{00000000-0000-0000-0000-000000000000}"/>
  <bookViews>
    <workbookView xWindow="12630" yWindow="0" windowWidth="2907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5" l="1"/>
  <c r="D31" i="13"/>
  <c r="D32" i="13"/>
  <c r="D33" i="13"/>
  <c r="D34" i="13"/>
  <c r="D31" i="19"/>
  <c r="F31" i="19" s="1"/>
  <c r="D32" i="19"/>
  <c r="F32" i="19" s="1"/>
  <c r="D33" i="19"/>
  <c r="F33" i="19" s="1"/>
  <c r="D34" i="19"/>
  <c r="F34" i="19" s="1"/>
  <c r="D30" i="19"/>
  <c r="F30" i="19" s="1"/>
  <c r="D29" i="19"/>
  <c r="F29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3" i="19"/>
  <c r="F13" i="19" s="1"/>
  <c r="E18" i="19"/>
  <c r="F18" i="19" s="1"/>
  <c r="G6" i="5"/>
  <c r="E7" i="18"/>
  <c r="F8" i="18" l="1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11" i="5" l="1"/>
  <c r="I7" i="5"/>
  <c r="H8" i="5" a="1"/>
  <c r="H8" i="5" l="1"/>
  <c r="I8" i="5" s="1"/>
  <c r="I9" i="5" s="1"/>
  <c r="J9" i="5"/>
  <c r="J11" i="5" l="1"/>
  <c r="J10" i="5" l="1"/>
  <c r="F27" i="8" l="1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<sst xmlns="http://schemas.openxmlformats.org/spreadsheetml/2006/main" count="618" uniqueCount="193">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</sst>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</cellXfs>
  <cellStyles count="1">
    <cellStyle name="Normal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183573</xdr:rowOff>
        </xdr:from>
        <xdr:to>
          <xdr:col>6</xdr:col>
          <xdr:colOff>190500</xdr:colOff>
          <xdr:row>4</xdr:row>
          <xdr:rowOff>174048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109969</xdr:colOff>
          <xdr:row>6</xdr:row>
          <xdr:rowOff>64944</xdr:rowOff>
        </xdr:from>
        <xdr:to>
          <xdr:col>10</xdr:col>
          <xdr:colOff>695324</xdr:colOff>
          <xdr:row>8</xdr:row>
          <xdr:rowOff>121227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146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143</v>
      </c>
      <c r="D3" s="1" t="s">
        <v>64</v>
      </c>
      <c r="E3" s="1" t="s">
        <v>141</v>
      </c>
      <c r="F3" s="1" t="s">
        <v>142</v>
      </c>
      <c r="G3" s="1" t="s">
        <v>144</v>
      </c>
      <c r="K3" s="1" t="s">
        <v>145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zoomScale="110" zoomScaleNormal="110" workbookViewId="0">
      <selection activeCell="A2" sqref="A2:X19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185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138</v>
      </c>
      <c r="N3" s="1" t="s">
        <v>128</v>
      </c>
      <c r="O3" s="1" t="s">
        <v>129</v>
      </c>
      <c r="P3" s="1" t="s">
        <v>50</v>
      </c>
      <c r="Q3" s="1" t="s">
        <v>139</v>
      </c>
      <c r="R3" s="1" t="s">
        <v>140</v>
      </c>
      <c r="T3" s="1" t="s">
        <v>47</v>
      </c>
      <c r="U3" s="1" t="s">
        <v>157</v>
      </c>
      <c r="V3" s="1" t="s">
        <v>167</v>
      </c>
      <c r="W3" s="1" t="s">
        <v>59</v>
      </c>
      <c r="X3" s="1" t="s">
        <v>186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136</v>
      </c>
      <c r="G4" s="7" t="s">
        <v>189</v>
      </c>
      <c r="H4" s="7" t="s">
        <v>127</v>
      </c>
      <c r="I4" s="7" t="s">
        <v>54</v>
      </c>
      <c r="J4" s="2"/>
      <c r="K4" s="2"/>
    </row>
    <row r="5" spans="1:24" x14ac:dyDescent="0.25">
      <c r="A5" s="15" t="e">
        <f>LOOKUP(MAX(M:M),M:M,N:N)</f>
        <v>#N/A</v>
      </c>
      <c r="B5" s="10" t="s">
        <v>8</v>
      </c>
      <c r="C5" s="5" t="e" cm="1">
        <f t="array" aca="1" ref="C5" ca="1">INDIRECT("'"&amp;LOOKUP($A5,$A$18:$A$27,$B$18:$B$27)&amp;"'!B6")-SUMIFS(X:X,T:T,$A5,W:W,"Accuracy")</f>
        <v>#N/A</v>
      </c>
      <c r="D5" s="6"/>
      <c r="E5" s="5">
        <v>26.453222831090294</v>
      </c>
      <c r="F5" s="19"/>
      <c r="G5" s="5" t="e" cm="1">
        <f t="array" aca="1" ref="G5" ca="1">F5*MAX(0,INDIRECT("'"&amp;LOOKUP($A5,$A$18:$A$27,$B$18:$B$27)&amp;"'!F23")-SUMIFS(X:X,T:T,$A5,W:W,"Willpower Factor"))</f>
        <v>#N/A</v>
      </c>
      <c r="H5" s="5">
        <v>1</v>
      </c>
      <c r="I5" s="12" t="e">
        <f ca="1">SUM(C5:E5,G5)*H5</f>
        <v>#N/A</v>
      </c>
      <c r="J5" s="3"/>
      <c r="K5" s="2"/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</row>
    <row r="7" spans="1:24" x14ac:dyDescent="0.25">
      <c r="A7" s="15" t="e">
        <f>LOOKUP(MAX(M:M),M:M,O:O)</f>
        <v>#N/A</v>
      </c>
      <c r="B7" s="10" t="s">
        <v>9</v>
      </c>
      <c r="C7" s="5" t="e" cm="1">
        <f t="array" aca="1" ref="C7" ca="1">INDIRECT("'"&amp;LOOKUP($A7,$A$18:$A$27,$B$18:$B$27)&amp;"'!F14")-SUMIFS(X:X,T:T,$A7,W:W,B7)</f>
        <v>#N/A</v>
      </c>
      <c r="D7" s="6"/>
      <c r="E7" s="5">
        <v>30.866805553436279</v>
      </c>
      <c r="F7" s="19"/>
      <c r="G7" s="5" t="e" cm="1">
        <f t="array" aca="1" ref="G7" ca="1">F7*MAX(0,INDIRECT("'"&amp;LOOKUP($A7,$A$18:$A$27,$B$18:$B$27)&amp;"'!F23")-SUMIFS(X:X,T:T,$A7,W:W,"Willpower Factor"))</f>
        <v>#N/A</v>
      </c>
      <c r="H7" s="5">
        <v>1</v>
      </c>
      <c r="I7" s="12" t="e">
        <f ca="1">SUM(C7:E7,G7)*H7</f>
        <v>#N/A</v>
      </c>
      <c r="J7" s="3"/>
      <c r="K7" s="2"/>
    </row>
    <row r="8" spans="1:24" x14ac:dyDescent="0.25">
      <c r="A8" s="2" t="e">
        <f>A5</f>
        <v>#N/A</v>
      </c>
      <c r="B8" s="10" t="s">
        <v>50</v>
      </c>
      <c r="C8" s="5" t="e" cm="1">
        <f t="array" aca="1" ref="C8" ca="1">INDIRECT("'"&amp;LOOKUP($A8,$A$18:$A$27,$B$18:$B$27)&amp;"'!D6")-SUMIFS(X:X,T:T,$A8,W:W,B8)</f>
        <v>#N/A</v>
      </c>
      <c r="D8" s="6"/>
      <c r="E8" s="5">
        <v>2.6082723140716553</v>
      </c>
      <c r="F8" s="19"/>
      <c r="G8" s="5" t="e" cm="1">
        <f t="array" aca="1" ref="G8" ca="1">F8*MAX(0,INDIRECT("'"&amp;LOOKUP($A8,$A$18:$A$27,$B$18:$B$27)&amp;"'!F23")-SUMIFS(X:X,T:T,$A8,W:W,"Willpower Factor"))</f>
        <v>#N/A</v>
      </c>
      <c r="H8" s="5" t="e" cm="1">
        <f t="array" aca="1" ref="H8" ca="1">IF(I5&gt;I7*2,MAX(1,INDIRECT("'"&amp;LOOKUP($A8,$A$18:$A$27,$B$18:$B$27)&amp;"'!F6")-SUMIFS(X:X,T:T,$A8,W:W,"Crit Factor")),1)</f>
        <v>#N/A</v>
      </c>
      <c r="I8" s="12" t="e">
        <f ca="1">IF(I5&gt;I7,SUM(C8:E8,G8)*H8,0)</f>
        <v>#N/A</v>
      </c>
      <c r="J8" s="3"/>
      <c r="K8" s="2"/>
    </row>
    <row r="9" spans="1:24" x14ac:dyDescent="0.25">
      <c r="A9" s="2" t="e">
        <f>A7</f>
        <v>#N/A</v>
      </c>
      <c r="B9" s="10" t="s">
        <v>131</v>
      </c>
      <c r="C9" s="5"/>
      <c r="D9" s="5"/>
      <c r="E9" s="5"/>
      <c r="F9" s="20"/>
      <c r="G9" s="5" t="e" cm="1">
        <f t="array" aca="1" ref="G9" ca="1">F9*MAX(0,INDIRECT("'"&amp;LOOKUP($A9,$A$18:$A$27,$B$18:$B$27)&amp;"'!F23")-SUMIFS(X:X,T:T,$A9,W:W,"Willpower Factor"))</f>
        <v>#N/A</v>
      </c>
      <c r="H9" s="5" t="e" cm="1">
        <f t="array" aca="1" ref="H9" ca="1">100/(100+INDIRECT("'"&amp;LOOKUP($A9,$A$18:$A$27,$B$18:$B$27)&amp;"'!G6"))</f>
        <v>#N/A</v>
      </c>
      <c r="I9" s="13" t="e">
        <f ca="1">IF(I5&gt;I7,I8*(H9),0)</f>
        <v>#N/A</v>
      </c>
      <c r="J9" s="3" t="e">
        <f ca="1">IF(I5&gt;I7*2, "CRIT!",IF(I5&gt;I7,"HIT","miss"))</f>
        <v>#N/A</v>
      </c>
      <c r="K9" s="2"/>
    </row>
    <row r="10" spans="1:24" x14ac:dyDescent="0.25">
      <c r="A10" s="2" t="e">
        <f>A7</f>
        <v>#N/A</v>
      </c>
      <c r="B10" s="10" t="s">
        <v>13</v>
      </c>
      <c r="C10" s="5" t="e" cm="1">
        <f t="array" aca="1" ref="C10" ca="1">MAX(0,INDIRECT("'"&amp;LOOKUP($A10,$A$18:$A$27,$B$18:$B$27)&amp;"'!F16")-SUMIFS(X:X,T:T,$A10,W:W,B10))</f>
        <v>#N/A</v>
      </c>
      <c r="D10" s="6"/>
      <c r="E10" s="5">
        <v>14.440927577018739</v>
      </c>
      <c r="F10" s="19"/>
      <c r="G10" s="5" t="e" cm="1">
        <f t="array" aca="1" ref="G10" ca="1">F10*MAX(0,INDIRECT("'"&amp;LOOKUP($A10,$A$18:$A$27,$B$18:$B$27)&amp;"'!F23")-SUMIFS(X:X,T:T,$A10,W:W,"Willpower Factor"))</f>
        <v>#N/A</v>
      </c>
      <c r="H10" s="5">
        <v>1</v>
      </c>
      <c r="I10" s="12" t="e">
        <f ca="1">SUM(C10:E10,G10)*H10</f>
        <v>#N/A</v>
      </c>
      <c r="J10" s="3" t="e">
        <f ca="1">IF(I9&gt;I10,"WOUNDED","")</f>
        <v>#N/A</v>
      </c>
      <c r="K10" s="2"/>
    </row>
    <row r="11" spans="1:24" x14ac:dyDescent="0.25">
      <c r="A11" s="2" t="e">
        <f>A7</f>
        <v>#N/A</v>
      </c>
      <c r="B11" s="10" t="s">
        <v>11</v>
      </c>
      <c r="C11" s="5" t="e" cm="1">
        <f t="array" aca="1" ref="C11" ca="1">MAX(0,INDIRECT("'"&amp;LOOKUP($A11,$A$18:$A$27,$B$18:$B$27)&amp;"'!F18")-SUMIFS(X:X,T:T,$A11,W:W,B11))</f>
        <v>#N/A</v>
      </c>
      <c r="D11" s="6"/>
      <c r="E11" s="5">
        <v>8.1309923484921462</v>
      </c>
      <c r="F11" s="19"/>
      <c r="G11" s="5" t="e" cm="1">
        <f t="array" aca="1" ref="G11" ca="1">F11*MAX(0,INDIRECT("'"&amp;LOOKUP($A11,$A$18:$A$27,$B$18:$B$27)&amp;"'!F23")-SUMIFS(X:X,T:T,$A11,W:W,"Willpower Factor"))</f>
        <v>#N/A</v>
      </c>
      <c r="H11" s="5">
        <v>1</v>
      </c>
      <c r="I11" s="12" t="e">
        <f ca="1">SUM(C11:E11,G11)*H11</f>
        <v>#N/A</v>
      </c>
      <c r="J11" s="3" t="e">
        <f ca="1">IF(I9&gt;I11,"WINCED","")</f>
        <v>#N/A</v>
      </c>
      <c r="K11" s="2"/>
    </row>
    <row r="12" spans="1:24" x14ac:dyDescent="0.25">
      <c r="A12" s="2" t="e">
        <f>A7</f>
        <v>#N/A</v>
      </c>
      <c r="B12" s="10" t="s">
        <v>19</v>
      </c>
      <c r="C12" s="5" t="e" cm="1">
        <f t="array" aca="1" ref="C12" ca="1">MAX(0,INDIRECT("'"&amp;LOOKUP($A12,$A$18:$A$27,$B$18:$B$27)&amp;"'!F20")-SUMIFS(X:X,T:T,$A12,W:W,B12))</f>
        <v>#N/A</v>
      </c>
      <c r="D12" s="6"/>
      <c r="E12" s="5">
        <v>6.4162985622882847</v>
      </c>
      <c r="F12" s="19"/>
      <c r="G12" s="5" t="e" cm="1">
        <f t="array" aca="1" ref="G12" ca="1">F12*MAX(0,INDIRECT("'"&amp;LOOKUP($A12,$A$18:$A$27,$B$18:$B$27)&amp;"'!F23")-SUMIFS(X:X,T:T,$A12,W:W,"Willpower Factor"))</f>
        <v>#N/A</v>
      </c>
      <c r="H12" s="5">
        <v>1</v>
      </c>
      <c r="I12" s="12" t="e">
        <f ca="1">SUM(C12:E12,G12)*H12</f>
        <v>#N/A</v>
      </c>
      <c r="J12" s="3" t="e">
        <f ca="1">IF(SUMIF(A18:A27,A12,F18:F27)-SUMIF(A18:A27,A12,E18:E27)&gt;I12,"UNCONSCIOUS","")</f>
        <v>#N/A</v>
      </c>
      <c r="K12" s="2"/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7" spans="1:12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136</v>
      </c>
      <c r="H17" s="1" t="s">
        <v>137</v>
      </c>
      <c r="I17" s="1" t="s">
        <v>135</v>
      </c>
      <c r="J17" s="1" t="s">
        <v>147</v>
      </c>
      <c r="K17" s="9"/>
      <c r="L17" s="9"/>
    </row>
    <row r="18" spans="1:12" x14ac:dyDescent="0.25">
      <c r="A18" t="s">
        <v>156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28.666666666666668</v>
      </c>
      <c r="H18" s="8" cm="1">
        <f t="array" aca="1" ref="H18" ca="1">INDIRECT("'"&amp;$B18&amp;"'!F22")</f>
        <v>28.666666666666668</v>
      </c>
      <c r="I18" s="8"/>
      <c r="J18">
        <v>0</v>
      </c>
    </row>
    <row r="19" spans="1:12" x14ac:dyDescent="0.25">
      <c r="A19" t="s">
        <v>192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240</v>
      </c>
      <c r="F19" s="8" cm="1">
        <f t="array" aca="1" ref="F19" ca="1">INDIRECT("'"&amp;$B19&amp;"'!F9")</f>
        <v>240</v>
      </c>
      <c r="G19" s="8">
        <f t="shared" ca="1" si="1"/>
        <v>28</v>
      </c>
      <c r="H19" s="8" cm="1">
        <f t="array" aca="1" ref="H19" ca="1">INDIRECT("'"&amp;$B19&amp;"'!F22")</f>
        <v>28</v>
      </c>
      <c r="I19" s="8"/>
      <c r="J19" s="8">
        <v>0</v>
      </c>
      <c r="K19" s="8"/>
      <c r="L19" s="8"/>
    </row>
    <row r="20" spans="1:12" x14ac:dyDescent="0.25">
      <c r="A20" t="s">
        <v>148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147</v>
      </c>
      <c r="F20" s="8" cm="1">
        <f t="array" aca="1" ref="F20" ca="1">INDIRECT("'"&amp;$B20&amp;"'!F9")</f>
        <v>147</v>
      </c>
      <c r="G20" s="8">
        <f t="shared" ca="1" si="1"/>
        <v>59.166666666666664</v>
      </c>
      <c r="H20" s="8" cm="1">
        <f t="array" aca="1" ref="H20" ca="1">INDIRECT("'"&amp;$B20&amp;"'!F22")</f>
        <v>59.166666666666664</v>
      </c>
      <c r="I20" s="8"/>
      <c r="J20" s="8"/>
      <c r="K20" s="8"/>
      <c r="L20" s="8"/>
    </row>
    <row r="21" spans="1:12" x14ac:dyDescent="0.25">
      <c r="A21" t="s">
        <v>149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/>
      <c r="J21" s="8"/>
      <c r="K21" s="8"/>
      <c r="L21" s="8"/>
    </row>
    <row r="22" spans="1:12" x14ac:dyDescent="0.25">
      <c r="A22" t="s">
        <v>150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/>
      <c r="J22" s="8"/>
      <c r="K22" s="8"/>
      <c r="L22" s="8"/>
    </row>
    <row r="23" spans="1:12" x14ac:dyDescent="0.25">
      <c r="A23" t="s">
        <v>151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/>
      <c r="J23" s="8"/>
      <c r="K23" s="8"/>
      <c r="L23" s="8"/>
    </row>
    <row r="24" spans="1:12" x14ac:dyDescent="0.25">
      <c r="A24" t="s">
        <v>152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/>
      <c r="J24" s="8"/>
      <c r="K24" s="8"/>
      <c r="L24" s="8"/>
    </row>
    <row r="25" spans="1:12" x14ac:dyDescent="0.25">
      <c r="A25" t="s">
        <v>153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/>
      <c r="J25" s="8"/>
      <c r="K25" s="8"/>
      <c r="L25" s="8"/>
    </row>
    <row r="26" spans="1:12" x14ac:dyDescent="0.25">
      <c r="A26" t="s">
        <v>154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/>
      <c r="J26" s="8"/>
      <c r="K26" s="8"/>
      <c r="L26" s="8"/>
    </row>
    <row r="27" spans="1:12" x14ac:dyDescent="0.25">
      <c r="A27" t="s">
        <v>155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/>
      <c r="J27" s="8"/>
      <c r="K27" s="8"/>
      <c r="L27" s="8"/>
    </row>
    <row r="28" spans="1:12" x14ac:dyDescent="0.25">
      <c r="J28" s="8">
        <f t="shared" ref="J22:J28" si="2">(MAX(0,100-(MAX(M:M)-0-7)*1.9))</f>
        <v>113.3</v>
      </c>
    </row>
    <row r="29" spans="1:12" hidden="1" x14ac:dyDescent="0.25"/>
    <row r="30" spans="1:12" hidden="1" x14ac:dyDescent="0.25"/>
    <row r="31" spans="1:12" hidden="1" x14ac:dyDescent="0.25"/>
    <row r="32" spans="1:1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13:18" hidden="1" x14ac:dyDescent="0.25"/>
    <row r="50" spans="13:18" hidden="1" x14ac:dyDescent="0.25"/>
    <row r="51" spans="13:18" hidden="1" x14ac:dyDescent="0.25"/>
    <row r="52" spans="13:18" hidden="1" x14ac:dyDescent="0.25"/>
    <row r="53" spans="13:18" hidden="1" x14ac:dyDescent="0.25">
      <c r="M53" s="23"/>
      <c r="N53" s="24"/>
      <c r="O53" s="24"/>
      <c r="P53" s="25"/>
      <c r="Q53" s="26"/>
      <c r="R53" s="27"/>
    </row>
    <row r="54" spans="13:18" hidden="1" x14ac:dyDescent="0.25"/>
    <row r="55" spans="13:18" hidden="1" x14ac:dyDescent="0.25"/>
    <row r="56" spans="13:18" hidden="1" x14ac:dyDescent="0.25"/>
    <row r="57" spans="13:18" hidden="1" x14ac:dyDescent="0.25"/>
    <row r="58" spans="13:18" hidden="1" x14ac:dyDescent="0.25"/>
    <row r="59" spans="13:18" hidden="1" x14ac:dyDescent="0.25"/>
    <row r="60" spans="13:18" hidden="1" x14ac:dyDescent="0.25"/>
    <row r="61" spans="13:18" hidden="1" x14ac:dyDescent="0.25"/>
    <row r="62" spans="13:18" hidden="1" x14ac:dyDescent="0.25"/>
    <row r="63" spans="13:18" hidden="1" x14ac:dyDescent="0.25"/>
    <row r="64" spans="13:18" hidden="1" x14ac:dyDescent="0.25"/>
    <row r="65" spans="17:18" hidden="1" x14ac:dyDescent="0.25"/>
    <row r="66" spans="17:18" hidden="1" x14ac:dyDescent="0.25"/>
    <row r="67" spans="17:18" hidden="1" x14ac:dyDescent="0.25">
      <c r="Q67"/>
      <c r="R67"/>
    </row>
    <row r="68" spans="17:18" hidden="1" x14ac:dyDescent="0.25"/>
    <row r="69" spans="17:18" hidden="1" x14ac:dyDescent="0.25"/>
    <row r="70" spans="17:18" hidden="1" x14ac:dyDescent="0.25"/>
    <row r="71" spans="17:18" hidden="1" x14ac:dyDescent="0.25"/>
    <row r="72" spans="17:18" hidden="1" x14ac:dyDescent="0.25"/>
    <row r="73" spans="17:18" hidden="1" x14ac:dyDescent="0.25"/>
    <row r="74" spans="17:18" hidden="1" x14ac:dyDescent="0.25"/>
    <row r="75" spans="17:18" hidden="1" x14ac:dyDescent="0.25"/>
    <row r="76" spans="17:18" hidden="1" x14ac:dyDescent="0.25"/>
    <row r="77" spans="17:18" hidden="1" x14ac:dyDescent="0.25"/>
    <row r="78" spans="17:18" hidden="1" x14ac:dyDescent="0.25"/>
    <row r="79" spans="17:18" hidden="1" x14ac:dyDescent="0.25"/>
    <row r="80" spans="17:18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spans="17:18" hidden="1" x14ac:dyDescent="0.25"/>
    <row r="98" spans="17:18" hidden="1" x14ac:dyDescent="0.25"/>
    <row r="109" spans="17:18" x14ac:dyDescent="0.25">
      <c r="Q109"/>
      <c r="R109"/>
    </row>
  </sheetData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1048576">
    <cfRule type="cellIs" dxfId="0" priority="1" operator="equal">
      <formula>0</formula>
    </cfRule>
  </conditionalFormatting>
  <dataValidations count="1">
    <dataValidation type="list" allowBlank="1" showInputMessage="1" showErrorMessage="1" sqref="T7:T1048576 T4:T5 N4:O125" xr:uid="{0126374D-DE0E-4077-BD4A-F73046C559D1}">
      <formula1>$A$18:$A$27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W7:W1048576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51.862630826262922</v>
      </c>
      <c r="B1">
        <f ca="1">SUMIFS(G:G,E:E,"&gt;="&amp;A1,F:F,"&lt;"&amp;A1)</f>
        <v>0</v>
      </c>
      <c r="E1"/>
    </row>
    <row r="3" spans="1:7" x14ac:dyDescent="0.25">
      <c r="A3" t="str">
        <f ca="1">LOOKUP($B$1,$G:$G,A:A)</f>
        <v>Head</v>
      </c>
      <c r="B3" t="str">
        <f ca="1">LOOKUP($B$1,$G:$G,B:B)</f>
        <v>Back</v>
      </c>
      <c r="C3" t="str">
        <f ca="1">LOOKUP($B$1,$G:$G,C:C)</f>
        <v>Accuracy</v>
      </c>
    </row>
    <row r="5" spans="1:7" s="1" customFormat="1" x14ac:dyDescent="0.25">
      <c r="A5" s="1" t="s">
        <v>157</v>
      </c>
      <c r="B5" s="1" t="s">
        <v>167</v>
      </c>
      <c r="C5" s="1" t="s">
        <v>159</v>
      </c>
      <c r="D5" s="1" t="s">
        <v>158</v>
      </c>
      <c r="E5" s="16" t="s">
        <v>183</v>
      </c>
      <c r="F5" s="18"/>
      <c r="G5" s="18" t="s">
        <v>184</v>
      </c>
    </row>
    <row r="6" spans="1:7" x14ac:dyDescent="0.25">
      <c r="A6" t="s">
        <v>160</v>
      </c>
      <c r="B6" t="s">
        <v>165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161</v>
      </c>
      <c r="B7" t="s">
        <v>168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162</v>
      </c>
      <c r="B8" t="s">
        <v>168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163</v>
      </c>
      <c r="B9" t="s">
        <v>168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164</v>
      </c>
      <c r="B10" t="s">
        <v>168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165</v>
      </c>
      <c r="B11" t="s">
        <v>165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166</v>
      </c>
      <c r="B12" t="s">
        <v>169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170</v>
      </c>
      <c r="B13" t="s">
        <v>169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171</v>
      </c>
      <c r="B14" t="s">
        <v>169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172</v>
      </c>
      <c r="B15" t="s">
        <v>169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173</v>
      </c>
      <c r="B16" t="s">
        <v>169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166</v>
      </c>
      <c r="B17" t="s">
        <v>174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170</v>
      </c>
      <c r="B18" t="s">
        <v>174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171</v>
      </c>
      <c r="B19" t="s">
        <v>174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172</v>
      </c>
      <c r="B20" t="s">
        <v>174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173</v>
      </c>
      <c r="B21" t="s">
        <v>174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175</v>
      </c>
      <c r="B22" t="s">
        <v>168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176</v>
      </c>
      <c r="B23" t="s">
        <v>165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177</v>
      </c>
      <c r="B24" t="s">
        <v>165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178</v>
      </c>
      <c r="B25" t="s">
        <v>169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179</v>
      </c>
      <c r="B26" t="s">
        <v>169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180</v>
      </c>
      <c r="B27" t="s">
        <v>169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181</v>
      </c>
      <c r="B28" t="s">
        <v>169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182</v>
      </c>
      <c r="B29" t="s">
        <v>169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178</v>
      </c>
      <c r="B30" t="s">
        <v>174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179</v>
      </c>
      <c r="B31" t="s">
        <v>174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180</v>
      </c>
      <c r="B32" t="s">
        <v>174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181</v>
      </c>
      <c r="B33" t="s">
        <v>174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182</v>
      </c>
      <c r="B34" t="s">
        <v>174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C25" sqref="C25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4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4"/>
  <sheetViews>
    <sheetView workbookViewId="0">
      <selection activeCell="H12" sqref="H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190</v>
      </c>
      <c r="B6" s="8">
        <f>SUMIFS($F:$F,$A:$A,B$5,$B:$B,$A$6)</f>
        <v>7.7272727272727275</v>
      </c>
      <c r="C6" s="8">
        <f t="shared" ref="C6:E6" si="0">SUMIFS($F:$F,$A:$A,C$5,$B:$B,$A$6)</f>
        <v>33.333333333333336</v>
      </c>
      <c r="D6" s="8">
        <f>SUMIF(Weapons!A:A,A6,Weapons!C:C)</f>
        <v>50</v>
      </c>
      <c r="E6" s="8">
        <f t="shared" si="0"/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15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74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1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1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1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1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1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1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1.1599999999999999</v>
      </c>
    </row>
    <row r="24" spans="1:6" x14ac:dyDescent="0.25">
      <c r="A24" t="s">
        <v>5</v>
      </c>
      <c r="B24" t="s">
        <v>190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190</v>
      </c>
      <c r="C25">
        <v>300</v>
      </c>
      <c r="D25" s="8">
        <f>$C25/LOOKUP($A25,'STAT COSTS'!$A:$A,'STAT COSTS'!$B:$B)</f>
        <v>33.333333333333336</v>
      </c>
      <c r="F25" s="8">
        <f t="shared" si="1"/>
        <v>33.333333333333336</v>
      </c>
    </row>
    <row r="26" spans="1:6" x14ac:dyDescent="0.25">
      <c r="A26" t="s">
        <v>7</v>
      </c>
      <c r="B26" t="s">
        <v>190</v>
      </c>
      <c r="C26">
        <v>140</v>
      </c>
      <c r="D26" s="8">
        <f>$C26/LOOKUP($A26,'STAT COSTS'!$A:$A,'STAT COSTS'!$B:$B)</f>
        <v>28</v>
      </c>
      <c r="F26" s="8">
        <f t="shared" si="1"/>
        <v>28</v>
      </c>
    </row>
    <row r="27" spans="1:6" x14ac:dyDescent="0.25">
      <c r="A27" t="s">
        <v>120</v>
      </c>
      <c r="B27" t="s">
        <v>190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1"/>
        <v>1.1000000000000001</v>
      </c>
    </row>
    <row r="28" spans="1:6" x14ac:dyDescent="0.25">
      <c r="A28" t="s">
        <v>191</v>
      </c>
      <c r="B28" t="s">
        <v>190</v>
      </c>
      <c r="C28">
        <v>150</v>
      </c>
      <c r="D28" s="8">
        <f>$C28/LOOKUP($A28,'STAT COSTS'!$A:$A,'STAT COSTS'!$B:$B)</f>
        <v>0.3</v>
      </c>
      <c r="E28" s="8">
        <v>0.1</v>
      </c>
      <c r="F28" s="11">
        <f t="shared" si="1"/>
        <v>0.4</v>
      </c>
    </row>
    <row r="29" spans="1:6" x14ac:dyDescent="0.25">
      <c r="A29" t="s">
        <v>5</v>
      </c>
      <c r="B29" t="s">
        <v>67</v>
      </c>
      <c r="C29">
        <v>50</v>
      </c>
      <c r="D29" s="8">
        <f>$C29/LOOKUP($A29,'STAT COSTS'!$A:$A,'STAT COSTS'!$B:$B)</f>
        <v>2.2727272727272729</v>
      </c>
      <c r="F29" s="8">
        <f t="shared" ref="F29:F34" si="2">D29+E29</f>
        <v>2.2727272727272729</v>
      </c>
    </row>
    <row r="30" spans="1:6" x14ac:dyDescent="0.25">
      <c r="A30" t="s">
        <v>6</v>
      </c>
      <c r="B30" t="s">
        <v>67</v>
      </c>
      <c r="C30">
        <v>55</v>
      </c>
      <c r="D30" s="8">
        <f>$C30/LOOKUP($A30,'STAT COSTS'!$A:$A,'STAT COSTS'!$B:$B)</f>
        <v>6.1111111111111107</v>
      </c>
      <c r="F30" s="8">
        <f t="shared" si="2"/>
        <v>6.1111111111111107</v>
      </c>
    </row>
    <row r="31" spans="1:6" x14ac:dyDescent="0.25">
      <c r="A31" t="s">
        <v>5</v>
      </c>
      <c r="B31" t="s">
        <v>68</v>
      </c>
      <c r="C31">
        <v>50</v>
      </c>
      <c r="D31" s="8">
        <f>$C31/LOOKUP($A31,'STAT COSTS'!$A:$A,'STAT COSTS'!$B:$B)</f>
        <v>2.2727272727272729</v>
      </c>
      <c r="F31" s="8">
        <f t="shared" si="2"/>
        <v>2.2727272727272729</v>
      </c>
    </row>
    <row r="32" spans="1:6" x14ac:dyDescent="0.25">
      <c r="A32" t="s">
        <v>6</v>
      </c>
      <c r="B32" t="s">
        <v>68</v>
      </c>
      <c r="C32">
        <v>75</v>
      </c>
      <c r="D32" s="8">
        <f>$C32/LOOKUP($A32,'STAT COSTS'!$A:$A,'STAT COSTS'!$B:$B)</f>
        <v>8.3333333333333339</v>
      </c>
      <c r="E32" s="8">
        <v>20</v>
      </c>
      <c r="F32" s="8">
        <f t="shared" si="2"/>
        <v>28.333333333333336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H12" sqref="H12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185</v>
      </c>
      <c r="M8" s="1" t="s">
        <v>157</v>
      </c>
      <c r="N8" s="1" t="s">
        <v>59</v>
      </c>
      <c r="O8" s="1" t="s">
        <v>186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2" priority="2" operator="equal">
      <formula>0</formula>
    </cfRule>
  </conditionalFormatting>
  <conditionalFormatting sqref="E10:E23">
    <cfRule type="cellIs" dxfId="1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190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4"/>
  <sheetViews>
    <sheetView workbookViewId="0">
      <selection activeCell="C14" sqref="C14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</v>
      </c>
      <c r="B6">
        <v>10</v>
      </c>
    </row>
    <row r="7" spans="1:2" x14ac:dyDescent="0.25">
      <c r="A7" t="s">
        <v>20</v>
      </c>
      <c r="B7">
        <v>2</v>
      </c>
    </row>
    <row r="8" spans="1:2" x14ac:dyDescent="0.25">
      <c r="A8" t="s">
        <v>120</v>
      </c>
      <c r="B8">
        <v>200</v>
      </c>
    </row>
    <row r="9" spans="1:2" x14ac:dyDescent="0.25">
      <c r="A9" t="s">
        <v>7</v>
      </c>
      <c r="B9">
        <v>5</v>
      </c>
    </row>
    <row r="10" spans="1:2" x14ac:dyDescent="0.25">
      <c r="A10" t="s">
        <v>9</v>
      </c>
      <c r="B10">
        <v>25</v>
      </c>
    </row>
    <row r="11" spans="1:2" x14ac:dyDescent="0.25">
      <c r="A11" t="s">
        <v>10</v>
      </c>
      <c r="B11">
        <v>5</v>
      </c>
    </row>
    <row r="12" spans="1:2" x14ac:dyDescent="0.25">
      <c r="A12" t="s">
        <v>13</v>
      </c>
      <c r="B12">
        <v>12</v>
      </c>
    </row>
    <row r="13" spans="1:2" x14ac:dyDescent="0.25">
      <c r="A13" t="s">
        <v>14</v>
      </c>
      <c r="B13">
        <v>4</v>
      </c>
    </row>
    <row r="14" spans="1:2" x14ac:dyDescent="0.25">
      <c r="A14" t="s">
        <v>191</v>
      </c>
      <c r="B14">
        <v>500</v>
      </c>
    </row>
    <row r="15" spans="1:2" x14ac:dyDescent="0.25">
      <c r="A15" t="s">
        <v>2</v>
      </c>
      <c r="B15">
        <v>10</v>
      </c>
    </row>
    <row r="16" spans="1:2" x14ac:dyDescent="0.25">
      <c r="A16" t="s">
        <v>11</v>
      </c>
      <c r="B16">
        <v>11</v>
      </c>
    </row>
    <row r="17" spans="1:2" x14ac:dyDescent="0.25">
      <c r="A17" t="s">
        <v>12</v>
      </c>
      <c r="B17">
        <v>4</v>
      </c>
    </row>
    <row r="18" spans="1:2" x14ac:dyDescent="0.25">
      <c r="A18" t="s">
        <v>124</v>
      </c>
      <c r="B18">
        <v>1000</v>
      </c>
    </row>
    <row r="19" spans="1:2" x14ac:dyDescent="0.25">
      <c r="A19" t="s">
        <v>21</v>
      </c>
      <c r="B19">
        <v>18</v>
      </c>
    </row>
    <row r="20" spans="1:2" x14ac:dyDescent="0.25">
      <c r="A20" t="s">
        <v>22</v>
      </c>
      <c r="B20">
        <v>8</v>
      </c>
    </row>
    <row r="21" spans="1:2" x14ac:dyDescent="0.25">
      <c r="A21" t="s">
        <v>15</v>
      </c>
      <c r="B21">
        <v>18</v>
      </c>
    </row>
    <row r="22" spans="1:2" x14ac:dyDescent="0.25">
      <c r="A22" t="s">
        <v>16</v>
      </c>
      <c r="B22">
        <v>10</v>
      </c>
    </row>
    <row r="23" spans="1:2" x14ac:dyDescent="0.25">
      <c r="A23" t="s">
        <v>17</v>
      </c>
      <c r="B23">
        <v>15</v>
      </c>
    </row>
    <row r="24" spans="1:2" x14ac:dyDescent="0.25">
      <c r="A24" t="s">
        <v>18</v>
      </c>
      <c r="B24">
        <v>50</v>
      </c>
    </row>
  </sheetData>
  <sortState xmlns:xlrd2="http://schemas.microsoft.com/office/spreadsheetml/2017/richdata2" ref="A4:B24">
    <sortCondition ref="A4:A24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187</v>
      </c>
      <c r="B8" s="4">
        <v>45631</v>
      </c>
      <c r="C8" t="s">
        <v>188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2024-12-07T09:05:06Z</dcterms:modified>
</cp:coreProperties>
</file>
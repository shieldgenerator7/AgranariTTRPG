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01747EB1-20A4-418C-B49A-1EFAAF84523A}" xr6:coauthVersionLast="47" xr6:coauthVersionMax="47" xr10:uidLastSave="{00000000-0000-0000-0000-000000000000}"/>
  <bookViews>
    <workbookView xWindow="12630" yWindow="0" windowWidth="2784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/>
  <c r="J24" i="5"/>
  <c r="J27" i="5"/>
  <c r="J23" i="5"/>
  <c r="J26" i="5"/>
  <c r="J25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s="1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<sst xmlns="http://schemas.openxmlformats.org/spreadsheetml/2006/main" count="624" uniqueCount="193">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</sst>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F7" sqref="F7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138</v>
      </c>
      <c r="N3" s="1" t="s">
        <v>128</v>
      </c>
      <c r="O3" s="1" t="s">
        <v>129</v>
      </c>
      <c r="P3" s="1" t="s">
        <v>50</v>
      </c>
      <c r="Q3" s="1" t="s">
        <v>139</v>
      </c>
      <c r="R3" s="1" t="s">
        <v>140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156</v>
      </c>
      <c r="O4" t="s">
        <v>148</v>
      </c>
      <c r="P4" s="8"/>
    </row>
    <row r="5" spans="1:24" x14ac:dyDescent="0.25">
      <c r="A5" s="15" t="str">
        <f>LOOKUP(MAX(M:M),M:M,N:N)</f>
        <v>0 Wryonin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10.191241833898756</v>
      </c>
      <c r="F5" s="19">
        <v>3</v>
      </c>
      <c r="G5" s="5" cm="1">
        <f t="array" aca="1" ref="G5" ca="1">F5*MAX(0,INDIRECT("'"&amp;LOOKUP($A5,$A$18:$A$27,$B$18:$B$27)&amp;"'!F23")-SUMIFS(X:X,T:T,$A5,W:W,"Willpower Factor"))</f>
        <v>4.08</v>
      </c>
      <c r="H5" s="5">
        <v>1</v>
      </c>
      <c r="I5" s="12">
        <f ca="1">SUM(C5:E5,G5)*H5</f>
        <v>21.998514561171483</v>
      </c>
      <c r="J5" s="3"/>
      <c r="K5" s="2"/>
      <c r="M5" s="11">
        <v>2</v>
      </c>
      <c r="N5" t="s">
        <v>148</v>
      </c>
      <c r="O5" t="s">
        <v>156</v>
      </c>
      <c r="P5" s="8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3</v>
      </c>
      <c r="P6" s="8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17.656335055828094</v>
      </c>
      <c r="F7" s="19">
        <v>1</v>
      </c>
      <c r="G7" s="5" cm="1">
        <f t="array" aca="1" ref="G7" ca="1">F7*MAX(0,INDIRECT("'"&amp;LOOKUP($A7,$A$18:$A$27,$B$18:$B$27)&amp;"'!F23")-SUMIFS(X:X,T:T,$A7,W:W,"Willpower Factor"))</f>
        <v>2.25</v>
      </c>
      <c r="H7" s="5">
        <v>1</v>
      </c>
      <c r="I7" s="12">
        <f ca="1">SUM(C7:E7,G7)*H7</f>
        <v>20.306335055828093</v>
      </c>
      <c r="J7" s="3"/>
      <c r="K7" s="2"/>
      <c r="M7" s="11">
        <v>3</v>
      </c>
      <c r="N7" t="s">
        <v>156</v>
      </c>
      <c r="O7" t="s">
        <v>148</v>
      </c>
      <c r="P7" s="8">
        <v>48.327352681526769</v>
      </c>
      <c r="Q7" s="14">
        <v>7</v>
      </c>
      <c r="R7" s="14">
        <v>13</v>
      </c>
    </row>
    <row r="8" spans="1:24" x14ac:dyDescent="0.25">
      <c r="A8" s="2" t="str">
        <f>A5</f>
        <v>0 Wryonin</v>
      </c>
      <c r="B8" s="10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17.385558485984802</v>
      </c>
      <c r="F8" s="19">
        <v>4</v>
      </c>
      <c r="G8" s="5" cm="1">
        <f t="array" aca="1" ref="G8" ca="1">F8*MAX(0,INDIRECT("'"&amp;LOOKUP($A8,$A$18:$A$27,$B$18:$B$27)&amp;"'!F23")-SUMIFS(X:X,T:T,$A8,W:W,"Willpower Factor"))</f>
        <v>5.4399999999999995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62.8255584859848</v>
      </c>
      <c r="J8" s="3"/>
      <c r="K8" s="2"/>
      <c r="P8" s="8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48.327352681526769</v>
      </c>
      <c r="J9" s="3" t="str">
        <f ca="1">IF(I5&gt;I7*2, "CRIT!",IF(I5&gt;I7,"HIT","miss"))</f>
        <v>HIT</v>
      </c>
      <c r="K9" s="2"/>
      <c r="P9" s="8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4.6185212969779972</v>
      </c>
      <c r="F10" s="19">
        <v>1</v>
      </c>
      <c r="G10" s="5" cm="1">
        <f t="array" aca="1" ref="G10" ca="1">F10*MAX(0,INDIRECT("'"&amp;LOOKUP($A10,$A$18:$A$27,$B$18:$B$27)&amp;"'!F23")-SUMIFS(X:X,T:T,$A10,W:W,"Willpower Factor"))</f>
        <v>2.25</v>
      </c>
      <c r="H10" s="5">
        <v>1</v>
      </c>
      <c r="I10" s="12">
        <f ca="1">SUM(C10:E10,G10)*H10</f>
        <v>20.515187963644664</v>
      </c>
      <c r="J10" s="3" t="str">
        <f ca="1">IF(I9&gt;I10,"WOUNDED","")</f>
        <v>WOUNDED</v>
      </c>
      <c r="K10" s="2"/>
      <c r="P10" s="8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3.4844800460338594</v>
      </c>
      <c r="F11" s="19">
        <v>10</v>
      </c>
      <c r="G11" s="5" cm="1">
        <f t="array" aca="1" ref="G11" ca="1">F11*MAX(0,INDIRECT("'"&amp;LOOKUP($A11,$A$18:$A$27,$B$18:$B$27)&amp;"'!F23")-SUMIFS(X:X,T:T,$A11,W:W,"Willpower Factor"))</f>
        <v>22.5</v>
      </c>
      <c r="H11" s="5">
        <v>1</v>
      </c>
      <c r="I11" s="12">
        <f ca="1">SUM(C11:E11,G11)*H11</f>
        <v>32.319025500579315</v>
      </c>
      <c r="J11" s="3" t="str">
        <f ca="1">IF(I9&gt;I11,"WINCED","")</f>
        <v>WINCED</v>
      </c>
      <c r="K11" s="2"/>
      <c r="P11" s="8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1.9368502497673035</v>
      </c>
      <c r="F12" s="19">
        <v>1</v>
      </c>
      <c r="G12" s="5" cm="1">
        <f t="array" aca="1" ref="G12" ca="1">F12*MAX(0,INDIRECT("'"&amp;LOOKUP($A12,$A$18:$A$27,$B$18:$B$27)&amp;"'!F23")-SUMIFS(X:X,T:T,$A12,W:W,"Willpower Factor"))</f>
        <v>2.25</v>
      </c>
      <c r="H12" s="5">
        <v>1</v>
      </c>
      <c r="I12" s="12">
        <f ca="1">SUM(C12:E12,G12)*H12</f>
        <v>71.336850249767309</v>
      </c>
      <c r="J12" s="3" t="str">
        <f ca="1">IF(SUMIF(A18:A27,A12,F18:F27)-SUMIF(A18:A27,A12,E18:E27)&gt;I12,"UNCONSCIOUS","")</f>
        <v/>
      </c>
      <c r="K12" s="2"/>
      <c r="P12" s="8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P13" s="8"/>
    </row>
    <row r="14" spans="1:24" x14ac:dyDescent="0.25">
      <c r="P14" s="8"/>
    </row>
    <row r="15" spans="1:24" x14ac:dyDescent="0.25">
      <c r="P15" s="8"/>
    </row>
    <row r="16" spans="1:24" x14ac:dyDescent="0.25">
      <c r="P16" s="8"/>
    </row>
    <row r="17" spans="1:16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135</v>
      </c>
      <c r="J17" s="1" t="s">
        <v>147</v>
      </c>
      <c r="K17" s="9"/>
      <c r="L17" s="9"/>
      <c r="P17" s="8"/>
    </row>
    <row r="18" spans="1:16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21.666666666666668</v>
      </c>
      <c r="H18" s="8" cm="1">
        <f t="array" aca="1" ref="H18" ca="1">INDIRECT("'"&amp;$B18&amp;"'!F22")</f>
        <v>28.666666666666668</v>
      </c>
      <c r="I18" s="8"/>
      <c r="P18" s="8"/>
    </row>
    <row r="19" spans="1:16" x14ac:dyDescent="0.25">
      <c r="A19" t="s">
        <v>192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/>
      <c r="J19" s="8"/>
      <c r="K19" s="8"/>
      <c r="L19" s="8"/>
      <c r="P19" s="8"/>
    </row>
    <row r="20" spans="1:16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98.672647318473224</v>
      </c>
      <c r="F20" s="8" cm="1">
        <f t="array" aca="1" ref="F20" ca="1">INDIRECT("'"&amp;$B20&amp;"'!F9")</f>
        <v>147</v>
      </c>
      <c r="G20" s="8">
        <f t="shared" ca="1" si="1"/>
        <v>46.166666666666664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  <c r="P20" s="8"/>
    </row>
    <row r="21" spans="1:16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/>
      <c r="J21" s="8">
        <f>(MAX(0,100-(MAX(M:M)-0-5)*1.9))</f>
        <v>103.8</v>
      </c>
      <c r="K21" s="8"/>
      <c r="L21" s="8"/>
      <c r="P21" s="8"/>
    </row>
    <row r="22" spans="1:16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  <c r="P22" s="8"/>
    </row>
    <row r="23" spans="1:16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/>
      <c r="J23" s="8">
        <f>(MAX(0,100-(17-0-5)*1.9))</f>
        <v>77.2</v>
      </c>
      <c r="K23" s="8"/>
      <c r="L23" s="8"/>
      <c r="P23" s="8"/>
    </row>
    <row r="24" spans="1:16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/>
      <c r="J24" s="8">
        <f>(MAX(0,100-(MAX(M:M)-0-6)*1.9))</f>
        <v>105.7</v>
      </c>
      <c r="K24" s="8"/>
      <c r="L24" s="8"/>
      <c r="P24" s="8"/>
    </row>
    <row r="25" spans="1:16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/>
      <c r="J25" s="8">
        <f>(MAX(0,100-(5-0-4)*1.9))</f>
        <v>98.1</v>
      </c>
      <c r="K25" s="8"/>
      <c r="L25" s="8"/>
      <c r="P25" s="8"/>
    </row>
    <row r="26" spans="1:16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/>
      <c r="J26" s="8">
        <f>(MAX(0,100-(13-0-6)*1.9))</f>
        <v>86.7</v>
      </c>
      <c r="K26" s="8"/>
      <c r="L26" s="8"/>
      <c r="P26" s="8"/>
    </row>
    <row r="27" spans="1:16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/>
      <c r="J27" s="8">
        <f>(MAX(0,100-(23-0-6)*1.9))</f>
        <v>67.7</v>
      </c>
      <c r="K27" s="8"/>
      <c r="L27" s="8"/>
      <c r="P27" s="8"/>
    </row>
    <row r="28" spans="1:16" x14ac:dyDescent="0.25">
      <c r="P28" s="8"/>
    </row>
    <row r="29" spans="1:16" x14ac:dyDescent="0.25">
      <c r="P29" s="8"/>
    </row>
    <row r="30" spans="1:16" x14ac:dyDescent="0.25">
      <c r="P30" s="8"/>
    </row>
    <row r="31" spans="1:16" x14ac:dyDescent="0.25">
      <c r="P31" s="8"/>
    </row>
    <row r="32" spans="1:16" x14ac:dyDescent="0.25">
      <c r="P32" s="8"/>
    </row>
    <row r="33" spans="16:16" x14ac:dyDescent="0.25">
      <c r="P33" s="8"/>
    </row>
    <row r="34" spans="16:16" x14ac:dyDescent="0.25">
      <c r="P34" s="8"/>
    </row>
    <row r="35" spans="16:16" x14ac:dyDescent="0.25">
      <c r="P35" s="8"/>
    </row>
    <row r="36" spans="16:16" x14ac:dyDescent="0.25">
      <c r="P36" s="8"/>
    </row>
    <row r="37" spans="16:16" x14ac:dyDescent="0.25">
      <c r="P37" s="8"/>
    </row>
    <row r="38" spans="16:16" x14ac:dyDescent="0.25">
      <c r="P38" s="8"/>
    </row>
    <row r="39" spans="16:16" x14ac:dyDescent="0.25">
      <c r="P39" s="8"/>
    </row>
    <row r="40" spans="16:16" x14ac:dyDescent="0.25">
      <c r="P40" s="8"/>
    </row>
    <row r="41" spans="16:16" x14ac:dyDescent="0.25">
      <c r="P41" s="8"/>
    </row>
    <row r="42" spans="16:16" x14ac:dyDescent="0.25">
      <c r="P42" s="8"/>
    </row>
    <row r="43" spans="16:16" x14ac:dyDescent="0.25">
      <c r="P43" s="8"/>
    </row>
    <row r="44" spans="16:16" x14ac:dyDescent="0.25">
      <c r="P44" s="8"/>
    </row>
    <row r="45" spans="16:16" x14ac:dyDescent="0.25">
      <c r="P45" s="8"/>
    </row>
    <row r="46" spans="16:16" x14ac:dyDescent="0.25">
      <c r="P46" s="8"/>
    </row>
    <row r="47" spans="16:16" x14ac:dyDescent="0.25">
      <c r="P47" s="8"/>
    </row>
    <row r="48" spans="16:16" x14ac:dyDescent="0.25">
      <c r="P48" s="8"/>
    </row>
    <row r="49" spans="16:16" x14ac:dyDescent="0.25">
      <c r="P49" s="8"/>
    </row>
    <row r="50" spans="16:16" x14ac:dyDescent="0.25">
      <c r="P50" s="8"/>
    </row>
    <row r="51" spans="16:16" x14ac:dyDescent="0.25">
      <c r="P51" s="8"/>
    </row>
    <row r="52" spans="16:16" x14ac:dyDescent="0.25">
      <c r="P52" s="8"/>
    </row>
    <row r="53" spans="16:16" x14ac:dyDescent="0.25">
      <c r="P53" s="8"/>
    </row>
    <row r="54" spans="16:16" x14ac:dyDescent="0.25">
      <c r="P54" s="8"/>
    </row>
    <row r="55" spans="16:16" hidden="1" x14ac:dyDescent="0.25">
      <c r="P55" s="8"/>
    </row>
    <row r="56" spans="16:16" hidden="1" x14ac:dyDescent="0.25">
      <c r="P56" s="8"/>
    </row>
    <row r="57" spans="16:16" hidden="1" x14ac:dyDescent="0.25">
      <c r="P57" s="8"/>
    </row>
    <row r="58" spans="16:16" hidden="1" x14ac:dyDescent="0.25">
      <c r="P58" s="8"/>
    </row>
    <row r="59" spans="16:16" hidden="1" x14ac:dyDescent="0.25">
      <c r="P59" s="8"/>
    </row>
    <row r="60" spans="16:16" hidden="1" x14ac:dyDescent="0.25">
      <c r="P60" s="8"/>
    </row>
    <row r="61" spans="16:16" hidden="1" x14ac:dyDescent="0.25">
      <c r="P61" s="8"/>
    </row>
    <row r="62" spans="16:16" hidden="1" x14ac:dyDescent="0.25">
      <c r="P62" s="8"/>
    </row>
    <row r="63" spans="16:16" hidden="1" x14ac:dyDescent="0.25"/>
    <row r="64" spans="16:16" hidden="1" x14ac:dyDescent="0.25"/>
    <row r="65" spans="16:18" hidden="1" x14ac:dyDescent="0.25">
      <c r="P65" s="8"/>
    </row>
    <row r="66" spans="16:18" hidden="1" x14ac:dyDescent="0.25">
      <c r="P66" s="8"/>
    </row>
    <row r="67" spans="16:18" hidden="1" x14ac:dyDescent="0.25">
      <c r="P67" s="8"/>
      <c r="Q67"/>
      <c r="R67"/>
    </row>
    <row r="68" spans="16:18" hidden="1" x14ac:dyDescent="0.25"/>
    <row r="69" spans="16:18" hidden="1" x14ac:dyDescent="0.25"/>
    <row r="70" spans="16:18" hidden="1" x14ac:dyDescent="0.25">
      <c r="P70" s="8"/>
    </row>
    <row r="71" spans="16:18" hidden="1" x14ac:dyDescent="0.25">
      <c r="P71" s="8"/>
    </row>
    <row r="72" spans="16:18" hidden="1" x14ac:dyDescent="0.25">
      <c r="P72" s="8"/>
    </row>
    <row r="73" spans="16:18" hidden="1" x14ac:dyDescent="0.25"/>
    <row r="74" spans="16:18" hidden="1" x14ac:dyDescent="0.25"/>
    <row r="75" spans="16:18" hidden="1" x14ac:dyDescent="0.25">
      <c r="P75" s="8"/>
    </row>
    <row r="76" spans="16:18" hidden="1" x14ac:dyDescent="0.25">
      <c r="P76" s="8"/>
    </row>
    <row r="77" spans="16:18" hidden="1" x14ac:dyDescent="0.25">
      <c r="P77" s="8"/>
    </row>
    <row r="78" spans="16:18" hidden="1" x14ac:dyDescent="0.25"/>
    <row r="79" spans="16:18" hidden="1" x14ac:dyDescent="0.25"/>
    <row r="80" spans="16:18" hidden="1" x14ac:dyDescent="0.25">
      <c r="P80" s="8"/>
    </row>
    <row r="81" spans="16:16" hidden="1" x14ac:dyDescent="0.25">
      <c r="P81" s="8"/>
    </row>
    <row r="82" spans="16:16" x14ac:dyDescent="0.25">
      <c r="P82" s="8"/>
    </row>
    <row r="85" spans="16:16" x14ac:dyDescent="0.25">
      <c r="P85" s="8"/>
    </row>
    <row r="86" spans="16:16" x14ac:dyDescent="0.25">
      <c r="P86" s="8"/>
    </row>
    <row r="87" spans="16:16" x14ac:dyDescent="0.25">
      <c r="P87" s="8"/>
    </row>
    <row r="109" spans="17:18" x14ac:dyDescent="0.25">
      <c r="Q109"/>
      <c r="R109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2285.7636256317887</v>
      </c>
      <c r="B1">
        <f ca="1">SUMIFS(G:G,E:E,"&gt;="&amp;A1,F:F,"&lt;"&amp;A1)</f>
        <v>15</v>
      </c>
      <c r="E1"/>
    </row>
    <row r="3" spans="1:7" x14ac:dyDescent="0.25">
      <c r="A3" t="str">
        <f ca="1">LOOKUP($B$1,$G:$G,A:A)</f>
        <v>Hand</v>
      </c>
      <c r="B3" t="str">
        <f ca="1">LOOKUP($B$1,$G:$G,B:B)</f>
        <v>Right</v>
      </c>
      <c r="C3" t="str">
        <f ca="1">LOOKUP($B$1,$G:$G,C:C)</f>
        <v>Willpower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7" sqref="E2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I12" sqref="I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 t="shared" ref="C6:E6" si="0">SUMIFS($F:$F,$A:$A,C$5,$B:$B,$A$6)</f>
        <v>16.666666666666668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68.150408034545009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11.074441305613565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190</v>
      </c>
      <c r="C25">
        <v>150</v>
      </c>
      <c r="D25" s="8">
        <f>$C25/LOOKUP($A25,'STAT COSTS'!$A:$A,'STAT COSTS'!$B:$B)</f>
        <v>16.666666666666668</v>
      </c>
      <c r="F25" s="8">
        <f t="shared" si="1"/>
        <v>16.666666666666668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191</v>
      </c>
      <c r="B28" t="s">
        <v>190</v>
      </c>
      <c r="C28">
        <v>50</v>
      </c>
      <c r="D28" s="8">
        <f>$C28/LOOKUP($A28,'STAT COSTS'!$A:$A,'STAT COSTS'!$B:$B)</f>
        <v>6.25E-2</v>
      </c>
      <c r="E28" s="8">
        <v>0.1</v>
      </c>
      <c r="F28" s="11">
        <f t="shared" si="1"/>
        <v>0.16250000000000001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A14" sqref="A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191</v>
      </c>
      <c r="B14">
        <v>800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2024-12-07T03:14:23Z</dcterms:modified>
</cp:coreProperties>
</file>
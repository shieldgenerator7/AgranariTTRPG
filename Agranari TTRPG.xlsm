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FCF4D96B-0A0A-4951-8A60-33619CE64564}" xr6:coauthVersionLast="47" xr6:coauthVersionMax="47" xr10:uidLastSave="{00000000-0000-0000-0000-000000000000}"/>
  <bookViews>
    <workbookView xWindow="12540" yWindow="0" windowWidth="27045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9" i="5" l="1"/>
  <c r="X20" i="5"/>
  <c r="X19" i="5"/>
  <c r="J21" i="5"/>
  <c r="X18" i="5"/>
  <c r="J24" i="5"/>
  <c r="X17" i="5"/>
  <c r="X16" i="5"/>
  <c r="J27" i="5"/>
  <c r="X15" i="5"/>
  <c r="X14" i="5"/>
  <c r="J23" i="5"/>
  <c r="J26" i="5"/>
  <c r="X13" i="5"/>
  <c r="X12" i="5"/>
  <c r="X11" i="5"/>
  <c r="X10" i="5"/>
  <c r="J25" i="5"/>
  <c r="X9" i="5"/>
  <c r="X8" i="5"/>
  <c r="X7" i="5"/>
  <c r="X5" i="5"/>
  <c r="P5" i="5"/>
  <c r="X4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18" i="5" a="1"/>
  <c r="D18" i="5" a="1"/>
  <c r="C6" i="5" a="1"/>
  <c r="C20" i="5" a="1"/>
  <c r="D23" i="5" a="1"/>
  <c r="D25" i="5" a="1"/>
  <c r="C22" i="5" a="1"/>
  <c r="D20" i="5" a="1"/>
  <c r="C25" i="5" a="1"/>
  <c r="D22" i="5" a="1"/>
  <c r="C27" i="5" a="1"/>
  <c r="C26" i="5" a="1"/>
  <c r="C24" i="5" a="1"/>
  <c r="D27" i="5" a="1"/>
  <c r="D21" i="5" a="1"/>
  <c r="D24" i="5" a="1"/>
  <c r="C21" i="5" a="1"/>
  <c r="C23" i="5" a="1"/>
  <c r="D26" i="5" a="1"/>
  <c r="D19" i="5" a="1"/>
  <c r="C19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5" i="5" a="1"/>
  <c r="C8" i="5" a="1"/>
  <c r="H9" i="5" a="1"/>
  <c r="C5" i="5" l="1"/>
  <c r="C8" i="5"/>
  <c r="H9" i="5"/>
  <c r="I6" i="5"/>
  <c r="F9" i="14"/>
  <c r="F19" i="5" a="1"/>
  <c r="F24" i="5" a="1"/>
  <c r="F22" i="5" a="1"/>
  <c r="F27" i="5" a="1"/>
  <c r="F25" i="5" a="1"/>
  <c r="F20" i="5" a="1"/>
  <c r="F23" i="5" a="1"/>
  <c r="F26" i="5" a="1"/>
  <c r="F21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G8" i="5" a="1"/>
  <c r="G5" i="5" a="1"/>
  <c r="C10" i="5" a="1"/>
  <c r="C11" i="5" a="1"/>
  <c r="G9" i="5" a="1"/>
  <c r="G10" i="5" a="1"/>
  <c r="G11" i="5" a="1"/>
  <c r="G12" i="5" a="1"/>
  <c r="G7" i="5" a="1"/>
  <c r="C7" i="5" a="1"/>
  <c r="H19" i="5" a="1"/>
  <c r="H22" i="5" a="1"/>
  <c r="H25" i="5" a="1"/>
  <c r="H27" i="5" a="1"/>
  <c r="H20" i="5" a="1"/>
  <c r="H23" i="5" a="1"/>
  <c r="H26" i="5" a="1"/>
  <c r="H21" i="5" a="1"/>
  <c r="H24" i="5" a="1"/>
  <c r="G5" i="5" l="1"/>
  <c r="I5" i="5" s="1"/>
  <c r="G8" i="5"/>
  <c r="C7" i="5"/>
  <c r="G7" i="5"/>
  <c r="G12" i="5"/>
  <c r="G11" i="5"/>
  <c r="G10" i="5"/>
  <c r="G9" i="5"/>
  <c r="C11" i="5"/>
  <c r="I11" i="5" s="1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7" i="5" l="1"/>
  <c r="H8" i="5" a="1"/>
  <c r="H8" i="5" l="1"/>
  <c r="J9" i="5"/>
  <c r="I8" i="5"/>
  <c r="I9" i="5" s="1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H18" i="5" a="1"/>
  <c r="C12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<sst xmlns="http://schemas.openxmlformats.org/spreadsheetml/2006/main" count="837" uniqueCount="194">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</sst>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1" xfId="0" applyFont="1" applyFill="1" applyBorder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0" fontId="1" fillId="0" borderId="0" xfId="0" applyFont="1" applyFill="1" applyBorder="1" applyAlignment="1"/>
    <xf numFmtId="0" fontId="0" fillId="0" borderId="0" xfId="0" applyFill="1" applyBorder="1"/>
    <xf numFmtId="1" fontId="0" fillId="3" borderId="0" xfId="0" applyNumberFormat="1" applyFill="1"/>
    <xf numFmtId="1" fontId="0" fillId="2" borderId="0" xfId="0" applyNumberFormat="1" applyFill="1"/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9" t="s">
        <v>35</v>
      </c>
      <c r="D2" s="9"/>
      <c r="E2" s="9"/>
      <c r="F2" s="9"/>
      <c r="G2" s="9" t="s">
        <v>8</v>
      </c>
      <c r="H2" s="9"/>
      <c r="I2" s="9"/>
      <c r="J2" s="9" t="s">
        <v>44</v>
      </c>
      <c r="K2" s="9"/>
      <c r="L2" s="9"/>
      <c r="M2" s="9"/>
      <c r="N2" s="9"/>
      <c r="O2" s="9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15"/>
  <sheetViews>
    <sheetView tabSelected="1" workbookViewId="0">
      <selection activeCell="M104" sqref="M104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9.140625" style="8"/>
    <col min="14" max="15" width="11.85546875" bestFit="1" customWidth="1"/>
    <col min="17" max="17" width="11.85546875" style="17" bestFit="1" customWidth="1"/>
    <col min="18" max="18" width="12.5703125" style="17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22" t="s">
        <v>186</v>
      </c>
      <c r="V2" s="22"/>
      <c r="W2" s="22"/>
      <c r="X2" s="22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2" t="s">
        <v>47</v>
      </c>
      <c r="U3" s="12" t="s">
        <v>158</v>
      </c>
      <c r="V3" s="12" t="s">
        <v>168</v>
      </c>
      <c r="W3" s="12" t="s">
        <v>59</v>
      </c>
      <c r="X3" s="12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8">
        <v>1</v>
      </c>
      <c r="N4" t="s">
        <v>157</v>
      </c>
      <c r="O4" t="s">
        <v>149</v>
      </c>
      <c r="P4" s="8">
        <v>0</v>
      </c>
      <c r="T4" t="s">
        <v>149</v>
      </c>
      <c r="U4" t="s">
        <v>164</v>
      </c>
      <c r="V4" t="s">
        <v>169</v>
      </c>
      <c r="W4" t="s">
        <v>20</v>
      </c>
      <c r="X4" s="8">
        <f>54.8-28.8</f>
        <v>25.999999999999996</v>
      </c>
    </row>
    <row r="5" spans="1:24" x14ac:dyDescent="0.25">
      <c r="A5" s="18" t="str">
        <f>LOOKUP(MAX(M:M),M:M,N:N)</f>
        <v>0 Wryonin</v>
      </c>
      <c r="B5" s="13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5.8072126573986482</v>
      </c>
      <c r="F5" s="24"/>
      <c r="G5" s="5" cm="1">
        <f t="array" aca="1" ref="G5" ca="1">F5*MAX(0,INDIRECT("'"&amp;LOOKUP($A5,$A$18:$A$27,$B$18:$B$27)&amp;"'!F23")-SUMIFS(X:X,T:T,$A5,W:W,"Willpower Factor"))</f>
        <v>0</v>
      </c>
      <c r="H5" s="5">
        <v>1</v>
      </c>
      <c r="I5" s="15">
        <f ca="1">SUM(C5:E5,G5)*H5</f>
        <v>13.534485384671376</v>
      </c>
      <c r="J5" s="3"/>
      <c r="K5" s="2"/>
      <c r="M5" s="8">
        <v>1.1000000000000001</v>
      </c>
      <c r="N5" t="s">
        <v>193</v>
      </c>
      <c r="O5" t="s">
        <v>149</v>
      </c>
      <c r="P5" s="8">
        <f>54.8+10.77</f>
        <v>65.569999999999993</v>
      </c>
      <c r="Q5" s="17">
        <v>7</v>
      </c>
      <c r="T5" t="s">
        <v>149</v>
      </c>
      <c r="U5" t="s">
        <v>167</v>
      </c>
      <c r="V5" t="s">
        <v>175</v>
      </c>
      <c r="W5" t="s">
        <v>11</v>
      </c>
      <c r="X5" s="8">
        <f>45-18.5</f>
        <v>26.5</v>
      </c>
    </row>
    <row r="6" spans="1:24" hidden="1" x14ac:dyDescent="0.25">
      <c r="A6" s="2"/>
      <c r="B6" s="13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24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5" t="e">
        <f ca="1">SUM(C6:E6)*H6</f>
        <v>#N/A</v>
      </c>
      <c r="J6" s="3"/>
      <c r="K6" s="2"/>
      <c r="P6" s="8"/>
    </row>
    <row r="7" spans="1:24" x14ac:dyDescent="0.25">
      <c r="A7" s="18" t="str">
        <f>LOOKUP(MAX(M:M),M:M,O:O)</f>
        <v>1 Mudrich</v>
      </c>
      <c r="B7" s="13" t="s">
        <v>9</v>
      </c>
      <c r="C7" s="5" cm="1">
        <f t="array" aca="1" ref="C7" ca="1">INDIRECT("'"&amp;LOOKUP($A7,$A$18:$A$27,$B$18:$B$27)&amp;"'!F14")-SUMIFS(X:X,T:T,$A7,W:W,B7)</f>
        <v>3.2</v>
      </c>
      <c r="D7" s="6"/>
      <c r="E7" s="5">
        <v>12.723072135448456</v>
      </c>
      <c r="F7" s="24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5">
        <f ca="1">SUM(C7:E7,G7)*H7</f>
        <v>15.923072135448457</v>
      </c>
      <c r="J7" s="3"/>
      <c r="K7" s="2"/>
      <c r="M7" s="8">
        <v>1.2</v>
      </c>
      <c r="N7" t="s">
        <v>150</v>
      </c>
      <c r="O7" t="s">
        <v>193</v>
      </c>
      <c r="P7" s="8">
        <v>8.6</v>
      </c>
      <c r="R7" s="17">
        <v>1</v>
      </c>
      <c r="T7" t="s">
        <v>151</v>
      </c>
      <c r="U7" t="s">
        <v>165</v>
      </c>
      <c r="V7" t="s">
        <v>169</v>
      </c>
      <c r="W7" t="s">
        <v>120</v>
      </c>
      <c r="X7" s="8">
        <f>44.9-14.8</f>
        <v>30.099999999999998</v>
      </c>
    </row>
    <row r="8" spans="1:24" x14ac:dyDescent="0.25">
      <c r="A8" s="2" t="str">
        <f>A5</f>
        <v>0 Wryonin</v>
      </c>
      <c r="B8" s="13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6.1605924367904663</v>
      </c>
      <c r="F8" s="24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5">
        <f ca="1">IF(I5&gt;I7,SUM(C8:E8,G8)*H8,0)</f>
        <v>0</v>
      </c>
      <c r="J8" s="3"/>
      <c r="K8" s="2"/>
      <c r="M8" s="8">
        <v>1.3</v>
      </c>
      <c r="N8" t="s">
        <v>151</v>
      </c>
      <c r="O8" t="s">
        <v>193</v>
      </c>
      <c r="P8" s="8">
        <v>8.4</v>
      </c>
      <c r="Q8" s="17">
        <v>12</v>
      </c>
      <c r="T8" t="s">
        <v>151</v>
      </c>
      <c r="U8" t="s">
        <v>167</v>
      </c>
      <c r="V8" t="s">
        <v>175</v>
      </c>
      <c r="W8" t="s">
        <v>11</v>
      </c>
      <c r="X8" s="8">
        <f>40.5-23.5</f>
        <v>17</v>
      </c>
    </row>
    <row r="9" spans="1:24" x14ac:dyDescent="0.25">
      <c r="A9" s="2" t="str">
        <f>A7</f>
        <v>1 Mudrich</v>
      </c>
      <c r="B9" s="13" t="s">
        <v>131</v>
      </c>
      <c r="C9" s="5"/>
      <c r="D9" s="5"/>
      <c r="E9" s="5"/>
      <c r="F9" s="25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0.66666666666666663</v>
      </c>
      <c r="I9" s="16">
        <f ca="1">IF(I5&gt;I7,I8*(H9),0)</f>
        <v>0</v>
      </c>
      <c r="J9" s="3" t="str">
        <f ca="1">IF(I5&gt;I7*2, "CRIT!",IF(I5&gt;I7,"HIT","miss"))</f>
        <v>miss</v>
      </c>
      <c r="K9" s="2"/>
      <c r="M9" s="8">
        <v>1.4</v>
      </c>
      <c r="N9" t="s">
        <v>152</v>
      </c>
      <c r="O9" t="s">
        <v>193</v>
      </c>
      <c r="P9" s="8">
        <v>7.5</v>
      </c>
      <c r="Q9" s="17">
        <v>16</v>
      </c>
      <c r="T9" t="s">
        <v>154</v>
      </c>
      <c r="U9" t="s">
        <v>161</v>
      </c>
      <c r="V9" t="s">
        <v>166</v>
      </c>
      <c r="W9" t="s">
        <v>5</v>
      </c>
      <c r="X9" s="8">
        <f>78.6-18.9</f>
        <v>59.699999999999996</v>
      </c>
    </row>
    <row r="10" spans="1:24" x14ac:dyDescent="0.25">
      <c r="A10" s="2" t="str">
        <f>A7</f>
        <v>1 Mudrich</v>
      </c>
      <c r="B10" s="13" t="s">
        <v>13</v>
      </c>
      <c r="C10" s="5" cm="1">
        <f t="array" aca="1" ref="C10" ca="1">MAX(0,INDIRECT("'"&amp;LOOKUP($A10,$A$18:$A$27,$B$18:$B$27)&amp;"'!F16")-SUMIFS(X:X,T:T,$A10,W:W,B10))</f>
        <v>30.666666666666668</v>
      </c>
      <c r="D10" s="6"/>
      <c r="E10" s="5">
        <v>13.971023786067963</v>
      </c>
      <c r="F10" s="24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5">
        <f ca="1">SUM(C10:E10,G10)*H10</f>
        <v>44.637690452734631</v>
      </c>
      <c r="J10" s="3" t="str">
        <f ca="1">IF(I9&gt;I10,"WOUNDED","")</f>
        <v/>
      </c>
      <c r="K10" s="2"/>
      <c r="M10" s="8">
        <v>1.5</v>
      </c>
      <c r="N10" t="s">
        <v>153</v>
      </c>
      <c r="O10" t="s">
        <v>193</v>
      </c>
      <c r="P10" s="8">
        <v>8.1999999999999993</v>
      </c>
      <c r="Q10" s="17">
        <v>1</v>
      </c>
      <c r="T10" t="s">
        <v>155</v>
      </c>
      <c r="U10" t="s">
        <v>173</v>
      </c>
      <c r="V10" t="s">
        <v>175</v>
      </c>
      <c r="W10" t="s">
        <v>22</v>
      </c>
      <c r="X10" s="8">
        <f>36.3-24.6</f>
        <v>11.699999999999996</v>
      </c>
    </row>
    <row r="11" spans="1:24" x14ac:dyDescent="0.25">
      <c r="A11" s="2" t="str">
        <f>A7</f>
        <v>1 Mudrich</v>
      </c>
      <c r="B11" s="13" t="s">
        <v>11</v>
      </c>
      <c r="C11" s="5" cm="1">
        <f t="array" aca="1" ref="C11" ca="1">MAX(0,INDIRECT("'"&amp;LOOKUP($A11,$A$18:$A$27,$B$18:$B$27)&amp;"'!F18")-SUMIFS(X:X,T:T,$A11,W:W,B11))</f>
        <v>21.090909090909093</v>
      </c>
      <c r="D11" s="6"/>
      <c r="E11" s="5">
        <v>1.7454835212230684</v>
      </c>
      <c r="F11" s="24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5">
        <f ca="1">SUM(C11:E11,G11)*H11</f>
        <v>22.836392612132162</v>
      </c>
      <c r="J11" s="3" t="str">
        <f ca="1">IF(I9&gt;I11,"WINCED","")</f>
        <v/>
      </c>
      <c r="K11" s="2"/>
      <c r="M11" s="8">
        <v>1.6</v>
      </c>
      <c r="N11" t="s">
        <v>154</v>
      </c>
      <c r="O11" t="s">
        <v>193</v>
      </c>
      <c r="P11" s="8">
        <v>7.9</v>
      </c>
      <c r="Q11" s="17">
        <v>5</v>
      </c>
      <c r="T11" t="s">
        <v>155</v>
      </c>
      <c r="U11" t="s">
        <v>174</v>
      </c>
      <c r="V11" t="s">
        <v>170</v>
      </c>
      <c r="W11" t="s">
        <v>2</v>
      </c>
      <c r="X11" s="8">
        <f>34.3-17.6</f>
        <v>16.699999999999996</v>
      </c>
    </row>
    <row r="12" spans="1:24" x14ac:dyDescent="0.25">
      <c r="A12" s="2" t="str">
        <f>A7</f>
        <v>1 Mudrich</v>
      </c>
      <c r="B12" s="13" t="s">
        <v>19</v>
      </c>
      <c r="C12" s="5" cm="1">
        <f t="array" aca="1" ref="C12" ca="1">MAX(0,INDIRECT("'"&amp;LOOKUP($A12,$A$18:$A$27,$B$18:$B$27)&amp;"'!F20")-SUMIFS(X:X,T:T,$A12,W:W,B12))</f>
        <v>128</v>
      </c>
      <c r="D12" s="6"/>
      <c r="E12" s="5">
        <v>1.0040590167045593</v>
      </c>
      <c r="F12" s="24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5">
        <f ca="1">SUM(C12:E12,G12)*H12</f>
        <v>129.00405901670456</v>
      </c>
      <c r="J12" s="3" t="str">
        <f ca="1">IF(SUMIF(A18:A27,A12,F18:F27)-SUMIF(A18:A27,A12,E18:E27)&gt;I12,"UNCONSCIOUS","")</f>
        <v/>
      </c>
      <c r="K12" s="2"/>
      <c r="M12" s="8">
        <v>1.7</v>
      </c>
      <c r="N12" t="s">
        <v>155</v>
      </c>
      <c r="O12" t="s">
        <v>193</v>
      </c>
      <c r="P12" s="8">
        <v>8.4</v>
      </c>
      <c r="Q12" s="17">
        <v>7</v>
      </c>
      <c r="T12" t="s">
        <v>155</v>
      </c>
      <c r="U12" t="s">
        <v>164</v>
      </c>
      <c r="V12" t="s">
        <v>169</v>
      </c>
      <c r="W12" t="s">
        <v>20</v>
      </c>
      <c r="X12" s="8">
        <f>45.7-29.3</f>
        <v>16.400000000000002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8">
        <v>1.8</v>
      </c>
      <c r="N13" t="s">
        <v>156</v>
      </c>
      <c r="O13" t="s">
        <v>193</v>
      </c>
      <c r="P13" s="8">
        <v>8.5</v>
      </c>
      <c r="Q13" s="17">
        <v>10</v>
      </c>
      <c r="T13" t="s">
        <v>152</v>
      </c>
      <c r="U13" t="s">
        <v>161</v>
      </c>
      <c r="V13" t="s">
        <v>166</v>
      </c>
      <c r="W13" t="s">
        <v>5</v>
      </c>
      <c r="X13" s="8">
        <f>43.9-23.3</f>
        <v>20.599999999999998</v>
      </c>
    </row>
    <row r="14" spans="1:24" x14ac:dyDescent="0.25">
      <c r="M14" s="8">
        <v>2</v>
      </c>
      <c r="N14" t="s">
        <v>193</v>
      </c>
      <c r="O14" t="s">
        <v>150</v>
      </c>
      <c r="P14" s="8">
        <v>0</v>
      </c>
      <c r="T14" t="s">
        <v>152</v>
      </c>
      <c r="U14" t="s">
        <v>167</v>
      </c>
      <c r="V14" t="s">
        <v>170</v>
      </c>
      <c r="W14" t="s">
        <v>9</v>
      </c>
      <c r="X14" s="8">
        <f>39.9-26.8</f>
        <v>13.099999999999998</v>
      </c>
    </row>
    <row r="15" spans="1:24" x14ac:dyDescent="0.25">
      <c r="M15" s="8">
        <v>2.1</v>
      </c>
      <c r="N15" t="s">
        <v>149</v>
      </c>
      <c r="O15" t="s">
        <v>193</v>
      </c>
      <c r="P15" s="8">
        <v>7</v>
      </c>
      <c r="Q15" s="17">
        <v>1</v>
      </c>
      <c r="T15" t="s">
        <v>156</v>
      </c>
      <c r="U15" t="s">
        <v>171</v>
      </c>
      <c r="V15" t="s">
        <v>170</v>
      </c>
      <c r="W15" t="s">
        <v>10</v>
      </c>
      <c r="X15" s="8">
        <f>53.4-29</f>
        <v>24.4</v>
      </c>
    </row>
    <row r="16" spans="1:24" x14ac:dyDescent="0.25">
      <c r="M16" s="8">
        <v>2.2000000000000002</v>
      </c>
      <c r="N16" t="s">
        <v>150</v>
      </c>
      <c r="O16" t="s">
        <v>193</v>
      </c>
      <c r="P16" s="8">
        <v>7.8</v>
      </c>
      <c r="Q16" s="17">
        <v>3</v>
      </c>
      <c r="T16" t="s">
        <v>156</v>
      </c>
      <c r="U16" t="s">
        <v>166</v>
      </c>
      <c r="V16" t="s">
        <v>166</v>
      </c>
      <c r="W16" t="s">
        <v>7</v>
      </c>
      <c r="X16" s="8">
        <f>34.4-23.9</f>
        <v>10.5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2" t="s">
        <v>148</v>
      </c>
      <c r="K17" s="11"/>
      <c r="L17" s="11"/>
      <c r="M17" s="8">
        <v>2.2999999999999998</v>
      </c>
      <c r="N17" t="s">
        <v>151</v>
      </c>
      <c r="O17" t="s">
        <v>193</v>
      </c>
      <c r="P17" s="8">
        <v>7.1</v>
      </c>
      <c r="Q17" s="17">
        <v>10</v>
      </c>
      <c r="T17" t="s">
        <v>153</v>
      </c>
      <c r="U17" t="s">
        <v>179</v>
      </c>
      <c r="V17" t="s">
        <v>170</v>
      </c>
      <c r="W17" t="s">
        <v>19</v>
      </c>
      <c r="X17" s="8">
        <f>42.4-14.5</f>
        <v>27.9</v>
      </c>
    </row>
    <row r="18" spans="1:24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ca="1">F18-SUMIF(O:O,A18,P:P)</f>
        <v>241.5</v>
      </c>
      <c r="F18" s="8" cm="1">
        <f t="array" aca="1" ref="F18" ca="1">INDIRECT("'"&amp;$B18&amp;"'!F9")</f>
        <v>241.5</v>
      </c>
      <c r="G18" s="8">
        <f ca="1">H18-SUMIF(N:N,A18,Q:Q)-SUMIF(O:O,A18,R:R)</f>
        <v>0.66666666666666785</v>
      </c>
      <c r="H18" s="8" cm="1">
        <f t="array" aca="1" ref="H18" ca="1">INDIRECT("'"&amp;$B18&amp;"'!F22")</f>
        <v>28.666666666666668</v>
      </c>
      <c r="I18" s="8"/>
      <c r="M18" s="8">
        <v>2.4</v>
      </c>
      <c r="N18" t="s">
        <v>152</v>
      </c>
      <c r="O18" t="s">
        <v>193</v>
      </c>
      <c r="P18" s="8">
        <v>7.5</v>
      </c>
      <c r="Q18" s="17">
        <v>1</v>
      </c>
      <c r="T18" t="s">
        <v>153</v>
      </c>
      <c r="U18" t="s">
        <v>166</v>
      </c>
      <c r="V18" t="s">
        <v>166</v>
      </c>
      <c r="W18" t="s">
        <v>7</v>
      </c>
      <c r="X18" s="8">
        <f>36.2-23.1</f>
        <v>13.100000000000001</v>
      </c>
    </row>
    <row r="19" spans="1:24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ca="1">F19-SUMIF(O:O,A19,P:P)</f>
        <v>120</v>
      </c>
      <c r="F19" s="8" cm="1">
        <f t="array" aca="1" ref="F19" ca="1">INDIRECT("'"&amp;$B19&amp;"'!F9")</f>
        <v>240</v>
      </c>
      <c r="G19" s="8">
        <f ca="1">H19-SUMIF(N:N,A19,Q:Q)-SUMIF(O:O,A19,R:R)</f>
        <v>0</v>
      </c>
      <c r="H19" s="8" cm="1">
        <f t="array" aca="1" ref="H19" ca="1">INDIRECT("'"&amp;$B19&amp;"'!F22")</f>
        <v>28</v>
      </c>
      <c r="I19" s="8" t="s">
        <v>136</v>
      </c>
      <c r="J19" s="8"/>
      <c r="K19" s="8"/>
      <c r="L19" s="8"/>
      <c r="M19" s="8">
        <v>2.5</v>
      </c>
      <c r="N19" t="s">
        <v>153</v>
      </c>
      <c r="O19" t="s">
        <v>193</v>
      </c>
      <c r="P19" s="8">
        <v>8</v>
      </c>
      <c r="Q19" s="17">
        <v>10</v>
      </c>
      <c r="T19" t="s">
        <v>150</v>
      </c>
      <c r="U19" t="s">
        <v>165</v>
      </c>
      <c r="V19" t="s">
        <v>169</v>
      </c>
      <c r="W19" t="s">
        <v>120</v>
      </c>
      <c r="X19" s="8">
        <f>53.6-28.5</f>
        <v>25.1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F20-SUMIF(O:O,A20,P:P)</f>
        <v>36.430000000000007</v>
      </c>
      <c r="F20" s="8" cm="1">
        <f t="array" aca="1" ref="F20" ca="1">INDIRECT("'"&amp;$B20&amp;"'!F9")</f>
        <v>147</v>
      </c>
      <c r="G20" s="8">
        <f ca="1">H20-SUMIF(N:N,A20,Q:Q)-SUMIF(O:O,A20,R:R)</f>
        <v>52.166666666666664</v>
      </c>
      <c r="H20" s="8" cm="1">
        <f t="array" aca="1" ref="H20" ca="1">INDIRECT("'"&amp;$B20&amp;"'!F22")</f>
        <v>59.166666666666664</v>
      </c>
      <c r="I20" s="8" t="s">
        <v>136</v>
      </c>
      <c r="J20" s="8"/>
      <c r="K20" s="8"/>
      <c r="L20" s="8"/>
      <c r="M20" s="8">
        <v>2.6</v>
      </c>
      <c r="N20" t="s">
        <v>154</v>
      </c>
      <c r="O20" t="s">
        <v>193</v>
      </c>
      <c r="P20" s="8">
        <v>6.7</v>
      </c>
      <c r="Q20" s="17">
        <v>15</v>
      </c>
      <c r="T20" t="s">
        <v>150</v>
      </c>
      <c r="U20" t="s">
        <v>164</v>
      </c>
      <c r="V20" t="s">
        <v>169</v>
      </c>
      <c r="W20" t="s">
        <v>20</v>
      </c>
      <c r="X20" s="8">
        <f>35.5-27.6</f>
        <v>7.8999999999999986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F21-SUMIF(O:O,A21,P:P)</f>
        <v>57.900000000000006</v>
      </c>
      <c r="F21" s="8" cm="1">
        <f t="array" aca="1" ref="F21" ca="1">INDIRECT("'"&amp;$B21&amp;"'!F9")</f>
        <v>147</v>
      </c>
      <c r="G21" s="8">
        <f ca="1">H21-SUMIF(N:N,A21,Q:Q)-SUMIF(O:O,A21,R:R)</f>
        <v>-0.8333333333333357</v>
      </c>
      <c r="H21" s="8" cm="1">
        <f t="array" aca="1" ref="H21" ca="1">INDIRECT("'"&amp;$B21&amp;"'!F22")</f>
        <v>59.166666666666664</v>
      </c>
      <c r="I21" s="8" t="s">
        <v>136</v>
      </c>
      <c r="J21" s="8">
        <f>(MAX(0,100-(MAX(M:M)-0-5)*1.9))</f>
        <v>0</v>
      </c>
      <c r="K21" s="8"/>
      <c r="L21" s="8"/>
      <c r="M21" s="8">
        <v>2.7</v>
      </c>
      <c r="N21" t="s">
        <v>155</v>
      </c>
      <c r="O21" t="s">
        <v>193</v>
      </c>
      <c r="P21" s="8">
        <v>7.7</v>
      </c>
      <c r="Q21" s="17">
        <v>10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F22-SUMIF(O:O,A22,P:P)</f>
        <v>61.599999999999994</v>
      </c>
      <c r="F22" s="8" cm="1">
        <f t="array" aca="1" ref="F22" ca="1">INDIRECT("'"&amp;$B22&amp;"'!F9")</f>
        <v>147</v>
      </c>
      <c r="G22" s="8">
        <f ca="1">H22-SUMIF(N:N,A22,Q:Q)-SUMIF(O:O,A22,R:R)</f>
        <v>30.166666666666664</v>
      </c>
      <c r="H22" s="8" cm="1">
        <f t="array" aca="1" ref="H22" ca="1">INDIRECT("'"&amp;$B22&amp;"'!F22")</f>
        <v>59.166666666666664</v>
      </c>
      <c r="I22" s="8" t="s">
        <v>136</v>
      </c>
      <c r="J22" s="8"/>
      <c r="K22" s="8"/>
      <c r="L22" s="8"/>
      <c r="M22" s="8">
        <v>2.8</v>
      </c>
      <c r="N22" t="s">
        <v>156</v>
      </c>
      <c r="O22" t="s">
        <v>193</v>
      </c>
      <c r="P22" s="8">
        <v>7.3</v>
      </c>
      <c r="Q22" s="17">
        <v>12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F23-SUMIF(O:O,A23,P:P)</f>
        <v>63.2</v>
      </c>
      <c r="F23" s="8" cm="1">
        <f t="array" aca="1" ref="F23" ca="1">INDIRECT("'"&amp;$B23&amp;"'!F9")</f>
        <v>147</v>
      </c>
      <c r="G23" s="8">
        <f ca="1">H23-SUMIF(N:N,A23,Q:Q)-SUMIF(O:O,A23,R:R)</f>
        <v>4.1666666666666643</v>
      </c>
      <c r="H23" s="8" cm="1">
        <f t="array" aca="1" ref="H23" ca="1">INDIRECT("'"&amp;$B23&amp;"'!F22")</f>
        <v>59.166666666666664</v>
      </c>
      <c r="I23" s="8" t="s">
        <v>136</v>
      </c>
      <c r="J23" s="8">
        <f>(MAX(0,100-(17-0-5)*1.9))</f>
        <v>77.2</v>
      </c>
      <c r="K23" s="8"/>
      <c r="L23" s="8"/>
      <c r="M23" s="8">
        <v>3</v>
      </c>
      <c r="N23" t="s">
        <v>157</v>
      </c>
      <c r="O23" t="s">
        <v>149</v>
      </c>
      <c r="P23" s="8">
        <v>45</v>
      </c>
      <c r="Q23" s="17">
        <v>2</v>
      </c>
      <c r="R23" s="17">
        <v>6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F24-SUMIF(O:O,A24,P:P)</f>
        <v>68.400000000000006</v>
      </c>
      <c r="F24" s="8" cm="1">
        <f t="array" aca="1" ref="F24" ca="1">INDIRECT("'"&amp;$B24&amp;"'!F9")</f>
        <v>147</v>
      </c>
      <c r="G24" s="8">
        <f ca="1">H24-SUMIF(N:N,A24,Q:Q)-SUMIF(O:O,A24,R:R)</f>
        <v>30.166666666666664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f>(MAX(0,100-(MAX(M:M)-0-6)*1.9))</f>
        <v>0</v>
      </c>
      <c r="K24" s="8"/>
      <c r="L24" s="8"/>
      <c r="M24" s="8">
        <v>3.1</v>
      </c>
      <c r="N24" t="s">
        <v>193</v>
      </c>
      <c r="O24" t="s">
        <v>151</v>
      </c>
      <c r="P24" s="8">
        <v>44.9</v>
      </c>
      <c r="Q24" s="17">
        <v>1</v>
      </c>
      <c r="R24" s="17">
        <v>7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F25-SUMIF(O:O,A25,P:P)</f>
        <v>68.400000000000006</v>
      </c>
      <c r="F25" s="8" cm="1">
        <f t="array" aca="1" ref="F25" ca="1">INDIRECT("'"&amp;$B25&amp;"'!F9")</f>
        <v>147</v>
      </c>
      <c r="G25" s="8">
        <f ca="1">H25-SUMIF(N:N,A25,Q:Q)-SUMIF(O:O,A25,R:R)</f>
        <v>-15.833333333333336</v>
      </c>
      <c r="H25" s="8" cm="1">
        <f t="array" aca="1" ref="H25" ca="1">INDIRECT("'"&amp;$B25&amp;"'!F22")</f>
        <v>59.166666666666664</v>
      </c>
      <c r="I25" s="8" t="s">
        <v>136</v>
      </c>
      <c r="J25" s="8">
        <f>(MAX(0,100-(5-0-4)*1.9))</f>
        <v>98.1</v>
      </c>
      <c r="K25" s="8"/>
      <c r="L25" s="8"/>
      <c r="M25" s="8">
        <v>3.2</v>
      </c>
      <c r="N25" t="s">
        <v>150</v>
      </c>
      <c r="O25" t="s">
        <v>193</v>
      </c>
      <c r="P25" s="8">
        <v>7.1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F26-SUMIF(O:O,A26,P:P)</f>
        <v>30.700000000000003</v>
      </c>
      <c r="F26" s="8" cm="1">
        <f t="array" aca="1" ref="F26" ca="1">INDIRECT("'"&amp;$B26&amp;"'!F9")</f>
        <v>147</v>
      </c>
      <c r="G26" s="8">
        <f ca="1">H26-SUMIF(N:N,A26,Q:Q)-SUMIF(O:O,A26,R:R)</f>
        <v>8.1666666666666643</v>
      </c>
      <c r="H26" s="8" cm="1">
        <f t="array" aca="1" ref="H26" ca="1">INDIRECT("'"&amp;$B26&amp;"'!F22")</f>
        <v>59.166666666666664</v>
      </c>
      <c r="I26" s="8" t="s">
        <v>136</v>
      </c>
      <c r="J26" s="8">
        <f>(MAX(0,100-(13-0-6)*1.9))</f>
        <v>86.7</v>
      </c>
      <c r="K26" s="8"/>
      <c r="L26" s="8"/>
      <c r="M26" s="8">
        <v>3.3</v>
      </c>
      <c r="N26" t="s">
        <v>152</v>
      </c>
      <c r="O26" t="s">
        <v>193</v>
      </c>
      <c r="P26" s="8">
        <v>0</v>
      </c>
      <c r="Q26" s="17">
        <v>15</v>
      </c>
      <c r="R26" s="17">
        <v>4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F27-SUMIF(O:O,A27,P:P)</f>
        <v>59.2</v>
      </c>
      <c r="F27" s="8" cm="1">
        <f t="array" aca="1" ref="F27" ca="1">INDIRECT("'"&amp;$B27&amp;"'!F9")</f>
        <v>147</v>
      </c>
      <c r="G27" s="8">
        <f ca="1">H27-SUMIF(N:N,A27,Q:Q)-SUMIF(O:O,A27,R:R)</f>
        <v>20.166666666666664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f>(MAX(0,100-(23-0-6)*1.9))</f>
        <v>67.7</v>
      </c>
      <c r="K27" s="8"/>
      <c r="L27" s="8"/>
      <c r="M27" s="8">
        <v>3.4</v>
      </c>
      <c r="N27" t="s">
        <v>153</v>
      </c>
      <c r="O27" t="s">
        <v>193</v>
      </c>
      <c r="P27" s="8">
        <v>0</v>
      </c>
      <c r="Q27" s="17">
        <v>2</v>
      </c>
      <c r="R27" s="17">
        <v>1</v>
      </c>
    </row>
    <row r="28" spans="1:24" hidden="1" x14ac:dyDescent="0.25">
      <c r="M28" s="8">
        <v>3.5</v>
      </c>
      <c r="N28" t="s">
        <v>154</v>
      </c>
      <c r="O28" t="s">
        <v>193</v>
      </c>
      <c r="P28" s="8">
        <v>0</v>
      </c>
      <c r="Q28" s="17">
        <v>10</v>
      </c>
      <c r="R28" s="17">
        <v>1</v>
      </c>
    </row>
    <row r="29" spans="1:24" hidden="1" x14ac:dyDescent="0.25">
      <c r="M29" s="8">
        <v>3.6</v>
      </c>
      <c r="N29" t="s">
        <v>155</v>
      </c>
      <c r="O29" t="s">
        <v>193</v>
      </c>
      <c r="P29" s="8">
        <v>7.1</v>
      </c>
      <c r="Q29" s="17">
        <v>7</v>
      </c>
    </row>
    <row r="30" spans="1:24" hidden="1" x14ac:dyDescent="0.25">
      <c r="M30" s="8">
        <v>3.7</v>
      </c>
      <c r="N30" t="s">
        <v>156</v>
      </c>
      <c r="O30" t="s">
        <v>193</v>
      </c>
      <c r="P30" s="8">
        <v>7.2</v>
      </c>
    </row>
    <row r="31" spans="1:24" hidden="1" x14ac:dyDescent="0.25">
      <c r="M31" s="8">
        <v>4</v>
      </c>
      <c r="N31" t="s">
        <v>193</v>
      </c>
      <c r="O31" t="s">
        <v>151</v>
      </c>
      <c r="P31" s="8">
        <v>40.5</v>
      </c>
      <c r="Q31" s="17">
        <v>2</v>
      </c>
    </row>
    <row r="32" spans="1:24" hidden="1" x14ac:dyDescent="0.25">
      <c r="M32" s="8">
        <v>4.0999999999999996</v>
      </c>
      <c r="N32" t="s">
        <v>150</v>
      </c>
      <c r="O32" t="s">
        <v>193</v>
      </c>
      <c r="P32" s="8">
        <v>7.6</v>
      </c>
      <c r="Q32" s="17">
        <v>5</v>
      </c>
    </row>
    <row r="33" spans="13:18" hidden="1" x14ac:dyDescent="0.25">
      <c r="M33" s="8">
        <v>4.2</v>
      </c>
      <c r="N33" t="s">
        <v>152</v>
      </c>
      <c r="O33" t="s">
        <v>193</v>
      </c>
      <c r="P33" s="8">
        <v>0</v>
      </c>
      <c r="Q33" s="17">
        <v>8</v>
      </c>
      <c r="R33" s="17">
        <v>2</v>
      </c>
    </row>
    <row r="34" spans="13:18" hidden="1" x14ac:dyDescent="0.25">
      <c r="M34" s="8">
        <v>4.3</v>
      </c>
      <c r="N34" t="s">
        <v>153</v>
      </c>
      <c r="O34" t="s">
        <v>193</v>
      </c>
      <c r="P34" s="8">
        <v>0</v>
      </c>
      <c r="Q34" s="17">
        <v>10</v>
      </c>
      <c r="R34" s="17">
        <v>6</v>
      </c>
    </row>
    <row r="35" spans="13:18" hidden="1" x14ac:dyDescent="0.25">
      <c r="M35" s="8">
        <v>4.4000000000000004</v>
      </c>
      <c r="N35" t="s">
        <v>154</v>
      </c>
      <c r="O35" t="s">
        <v>193</v>
      </c>
      <c r="P35" s="8">
        <v>30.3</v>
      </c>
      <c r="Q35" s="17">
        <v>45</v>
      </c>
      <c r="R35" s="17">
        <v>3</v>
      </c>
    </row>
    <row r="36" spans="13:18" hidden="1" x14ac:dyDescent="0.25">
      <c r="M36" s="8">
        <v>4.5</v>
      </c>
      <c r="N36" t="s">
        <v>155</v>
      </c>
      <c r="O36" t="s">
        <v>193</v>
      </c>
      <c r="P36" s="8">
        <v>7.4</v>
      </c>
      <c r="Q36" s="17">
        <v>20</v>
      </c>
    </row>
    <row r="37" spans="13:18" hidden="1" x14ac:dyDescent="0.25">
      <c r="M37" s="8">
        <v>4.5999999999999996</v>
      </c>
      <c r="N37" t="s">
        <v>156</v>
      </c>
      <c r="O37" t="s">
        <v>193</v>
      </c>
      <c r="P37" s="8">
        <v>10.8</v>
      </c>
      <c r="Q37" s="17">
        <v>10</v>
      </c>
    </row>
    <row r="38" spans="13:18" hidden="1" x14ac:dyDescent="0.25">
      <c r="M38" s="8">
        <v>5</v>
      </c>
      <c r="N38" t="s">
        <v>157</v>
      </c>
      <c r="O38" t="s">
        <v>154</v>
      </c>
      <c r="P38" s="8">
        <v>78.599999999999994</v>
      </c>
      <c r="Q38" s="17">
        <v>6</v>
      </c>
    </row>
    <row r="39" spans="13:18" hidden="1" x14ac:dyDescent="0.25">
      <c r="M39" s="8">
        <v>6</v>
      </c>
      <c r="P39" s="8"/>
    </row>
    <row r="40" spans="13:18" hidden="1" x14ac:dyDescent="0.25">
      <c r="M40" s="8">
        <v>7</v>
      </c>
      <c r="N40" t="s">
        <v>157</v>
      </c>
      <c r="O40" t="s">
        <v>155</v>
      </c>
      <c r="P40" s="8">
        <v>36.299999999999997</v>
      </c>
      <c r="Q40" s="17">
        <v>6</v>
      </c>
    </row>
    <row r="41" spans="13:18" hidden="1" x14ac:dyDescent="0.25">
      <c r="M41" s="8">
        <v>8</v>
      </c>
      <c r="P41" s="8"/>
    </row>
    <row r="42" spans="13:18" hidden="1" x14ac:dyDescent="0.25">
      <c r="M42" s="8">
        <v>9</v>
      </c>
      <c r="N42" t="s">
        <v>157</v>
      </c>
      <c r="O42" t="s">
        <v>155</v>
      </c>
      <c r="P42" s="8">
        <v>34.299999999999997</v>
      </c>
      <c r="Q42" s="17">
        <v>2</v>
      </c>
      <c r="R42" s="17">
        <v>4</v>
      </c>
    </row>
    <row r="43" spans="13:18" hidden="1" x14ac:dyDescent="0.25">
      <c r="M43" s="8">
        <v>10</v>
      </c>
      <c r="P43" s="8"/>
    </row>
    <row r="44" spans="13:18" hidden="1" x14ac:dyDescent="0.25">
      <c r="M44" s="8">
        <v>11</v>
      </c>
      <c r="N44" t="s">
        <v>157</v>
      </c>
      <c r="O44" t="s">
        <v>155</v>
      </c>
      <c r="P44" s="8">
        <v>0</v>
      </c>
    </row>
    <row r="45" spans="13:18" hidden="1" x14ac:dyDescent="0.25">
      <c r="M45" s="8">
        <v>12</v>
      </c>
      <c r="P45" s="8"/>
    </row>
    <row r="46" spans="13:18" hidden="1" x14ac:dyDescent="0.25">
      <c r="M46" s="8">
        <v>13</v>
      </c>
      <c r="N46" t="s">
        <v>157</v>
      </c>
      <c r="O46" t="s">
        <v>155</v>
      </c>
      <c r="P46" s="8">
        <v>45.7</v>
      </c>
      <c r="Q46" s="17">
        <v>1</v>
      </c>
      <c r="R46" s="17">
        <v>3</v>
      </c>
    </row>
    <row r="47" spans="13:18" hidden="1" x14ac:dyDescent="0.25">
      <c r="M47" s="8">
        <v>14</v>
      </c>
      <c r="P47" s="8"/>
    </row>
    <row r="48" spans="13:18" hidden="1" x14ac:dyDescent="0.25">
      <c r="M48" s="8">
        <v>15</v>
      </c>
      <c r="N48" t="s">
        <v>157</v>
      </c>
      <c r="O48" t="s">
        <v>152</v>
      </c>
      <c r="P48" s="8">
        <v>43.9</v>
      </c>
      <c r="Q48" s="17">
        <v>1</v>
      </c>
      <c r="R48" s="17">
        <v>7</v>
      </c>
    </row>
    <row r="49" spans="13:18" hidden="1" x14ac:dyDescent="0.25">
      <c r="M49" s="8">
        <v>16</v>
      </c>
      <c r="P49" s="8"/>
    </row>
    <row r="50" spans="13:18" hidden="1" x14ac:dyDescent="0.25">
      <c r="M50" s="8">
        <v>17</v>
      </c>
      <c r="N50" t="s">
        <v>157</v>
      </c>
      <c r="O50" t="s">
        <v>152</v>
      </c>
      <c r="P50" s="8">
        <v>39.9</v>
      </c>
      <c r="Q50" s="17">
        <v>2</v>
      </c>
      <c r="R50" s="17">
        <v>8</v>
      </c>
    </row>
    <row r="51" spans="13:18" hidden="1" x14ac:dyDescent="0.25">
      <c r="M51" s="8">
        <v>18</v>
      </c>
      <c r="P51" s="8"/>
    </row>
    <row r="52" spans="13:18" hidden="1" x14ac:dyDescent="0.25">
      <c r="M52" s="8">
        <v>19</v>
      </c>
      <c r="N52" t="s">
        <v>157</v>
      </c>
      <c r="O52" t="s">
        <v>156</v>
      </c>
      <c r="P52" s="8">
        <v>0</v>
      </c>
    </row>
    <row r="53" spans="13:18" hidden="1" x14ac:dyDescent="0.25">
      <c r="M53" s="8">
        <v>20</v>
      </c>
      <c r="P53" s="8"/>
    </row>
    <row r="54" spans="13:18" x14ac:dyDescent="0.25">
      <c r="M54" s="8">
        <v>21</v>
      </c>
      <c r="N54" t="s">
        <v>157</v>
      </c>
      <c r="O54" t="s">
        <v>156</v>
      </c>
      <c r="P54" s="8">
        <v>53.4</v>
      </c>
      <c r="Q54" s="17">
        <v>1</v>
      </c>
      <c r="R54" s="17">
        <v>6</v>
      </c>
    </row>
    <row r="55" spans="13:18" hidden="1" x14ac:dyDescent="0.25">
      <c r="M55" s="8">
        <v>22</v>
      </c>
      <c r="P55" s="8"/>
    </row>
    <row r="56" spans="13:18" hidden="1" x14ac:dyDescent="0.25">
      <c r="M56" s="8">
        <v>23</v>
      </c>
      <c r="N56" t="s">
        <v>157</v>
      </c>
      <c r="O56" t="s">
        <v>156</v>
      </c>
      <c r="P56" s="8">
        <v>34.4</v>
      </c>
      <c r="Q56" s="17">
        <v>1</v>
      </c>
      <c r="R56" s="17">
        <v>1</v>
      </c>
    </row>
    <row r="57" spans="13:18" hidden="1" x14ac:dyDescent="0.25">
      <c r="M57" s="8">
        <v>24</v>
      </c>
      <c r="P57" s="8"/>
    </row>
    <row r="58" spans="13:18" hidden="1" x14ac:dyDescent="0.25">
      <c r="M58" s="8">
        <v>25</v>
      </c>
      <c r="N58" t="s">
        <v>157</v>
      </c>
      <c r="O58" t="s">
        <v>153</v>
      </c>
      <c r="P58" s="8">
        <v>42.4</v>
      </c>
      <c r="Q58" s="17">
        <v>1</v>
      </c>
      <c r="R58" s="17">
        <v>5</v>
      </c>
    </row>
    <row r="59" spans="13:18" hidden="1" x14ac:dyDescent="0.25">
      <c r="M59" s="8">
        <v>26</v>
      </c>
      <c r="P59" s="8"/>
    </row>
    <row r="60" spans="13:18" hidden="1" x14ac:dyDescent="0.25">
      <c r="M60" s="8">
        <v>27</v>
      </c>
      <c r="N60" t="s">
        <v>157</v>
      </c>
      <c r="O60" t="s">
        <v>153</v>
      </c>
      <c r="P60" s="8">
        <v>0</v>
      </c>
    </row>
    <row r="61" spans="13:18" hidden="1" x14ac:dyDescent="0.25">
      <c r="M61" s="8">
        <v>28</v>
      </c>
      <c r="P61" s="8"/>
    </row>
    <row r="62" spans="13:18" hidden="1" x14ac:dyDescent="0.25">
      <c r="M62" s="8">
        <v>29</v>
      </c>
      <c r="N62" t="s">
        <v>157</v>
      </c>
      <c r="O62" t="s">
        <v>153</v>
      </c>
      <c r="P62" s="8">
        <v>0</v>
      </c>
    </row>
    <row r="63" spans="13:18" hidden="1" x14ac:dyDescent="0.25">
      <c r="M63" s="8">
        <v>30</v>
      </c>
    </row>
    <row r="64" spans="13:18" hidden="1" x14ac:dyDescent="0.25">
      <c r="M64" s="8">
        <v>31</v>
      </c>
      <c r="N64" t="s">
        <v>157</v>
      </c>
      <c r="O64" t="s">
        <v>153</v>
      </c>
      <c r="P64">
        <v>36.200000000000003</v>
      </c>
      <c r="Q64" s="17">
        <v>2</v>
      </c>
      <c r="R64" s="17">
        <v>1</v>
      </c>
    </row>
    <row r="65" spans="13:18" hidden="1" x14ac:dyDescent="0.25">
      <c r="M65" s="8">
        <v>32</v>
      </c>
      <c r="P65" s="8"/>
    </row>
    <row r="66" spans="13:18" hidden="1" x14ac:dyDescent="0.25">
      <c r="M66" s="8">
        <v>33</v>
      </c>
      <c r="N66" t="s">
        <v>157</v>
      </c>
      <c r="O66" t="s">
        <v>150</v>
      </c>
      <c r="P66" s="8">
        <v>53.6</v>
      </c>
      <c r="Q66" s="17">
        <v>3</v>
      </c>
    </row>
    <row r="67" spans="13:18" hidden="1" x14ac:dyDescent="0.25">
      <c r="M67" s="8">
        <v>34</v>
      </c>
      <c r="P67" s="8"/>
      <c r="Q67"/>
      <c r="R67"/>
    </row>
    <row r="68" spans="13:18" hidden="1" x14ac:dyDescent="0.25">
      <c r="M68" s="8">
        <v>35</v>
      </c>
      <c r="N68" t="s">
        <v>157</v>
      </c>
      <c r="O68" t="s">
        <v>150</v>
      </c>
      <c r="P68" s="23">
        <v>0</v>
      </c>
      <c r="R68" s="17">
        <v>3</v>
      </c>
    </row>
    <row r="69" spans="13:18" hidden="1" x14ac:dyDescent="0.25">
      <c r="M69" s="8">
        <v>36</v>
      </c>
      <c r="P69" s="23"/>
    </row>
    <row r="70" spans="13:18" hidden="1" x14ac:dyDescent="0.25">
      <c r="M70" s="8">
        <v>37</v>
      </c>
      <c r="N70" t="s">
        <v>157</v>
      </c>
      <c r="O70" t="s">
        <v>150</v>
      </c>
      <c r="P70" s="8">
        <v>0</v>
      </c>
      <c r="R70" s="17">
        <v>10</v>
      </c>
    </row>
    <row r="71" spans="13:18" hidden="1" x14ac:dyDescent="0.25">
      <c r="M71" s="8">
        <v>38</v>
      </c>
      <c r="P71" s="8"/>
    </row>
    <row r="72" spans="13:18" hidden="1" x14ac:dyDescent="0.25">
      <c r="M72" s="8">
        <v>39</v>
      </c>
      <c r="N72" t="s">
        <v>157</v>
      </c>
      <c r="O72" t="s">
        <v>150</v>
      </c>
      <c r="P72" s="8">
        <v>0</v>
      </c>
    </row>
    <row r="73" spans="13:18" hidden="1" x14ac:dyDescent="0.25">
      <c r="M73" s="8">
        <v>40</v>
      </c>
      <c r="P73" s="23"/>
    </row>
    <row r="74" spans="13:18" hidden="1" x14ac:dyDescent="0.25">
      <c r="M74" s="8">
        <v>41</v>
      </c>
      <c r="N74" t="s">
        <v>157</v>
      </c>
      <c r="O74" t="s">
        <v>150</v>
      </c>
      <c r="P74" s="23">
        <v>0</v>
      </c>
    </row>
    <row r="75" spans="13:18" hidden="1" x14ac:dyDescent="0.25">
      <c r="M75" s="8">
        <v>42</v>
      </c>
      <c r="P75" s="8"/>
    </row>
    <row r="76" spans="13:18" hidden="1" x14ac:dyDescent="0.25">
      <c r="M76" s="8">
        <v>43</v>
      </c>
      <c r="N76" t="s">
        <v>157</v>
      </c>
      <c r="O76" t="s">
        <v>150</v>
      </c>
      <c r="P76" s="8">
        <v>0</v>
      </c>
      <c r="R76" s="17">
        <v>10</v>
      </c>
    </row>
    <row r="77" spans="13:18" hidden="1" x14ac:dyDescent="0.25">
      <c r="M77" s="8">
        <v>44</v>
      </c>
      <c r="P77" s="8"/>
    </row>
    <row r="78" spans="13:18" hidden="1" x14ac:dyDescent="0.25">
      <c r="M78" s="8">
        <v>45</v>
      </c>
      <c r="N78" t="s">
        <v>157</v>
      </c>
      <c r="O78" t="s">
        <v>150</v>
      </c>
      <c r="P78" s="23">
        <v>0</v>
      </c>
    </row>
    <row r="79" spans="13:18" hidden="1" x14ac:dyDescent="0.25">
      <c r="M79" s="8">
        <v>46</v>
      </c>
      <c r="P79" s="23"/>
    </row>
    <row r="80" spans="13:18" hidden="1" x14ac:dyDescent="0.25">
      <c r="M80" s="8">
        <v>47</v>
      </c>
      <c r="N80" t="s">
        <v>157</v>
      </c>
      <c r="O80" t="s">
        <v>150</v>
      </c>
      <c r="P80" s="8">
        <v>0</v>
      </c>
      <c r="R80" s="17">
        <v>10</v>
      </c>
    </row>
    <row r="81" spans="10:18" hidden="1" x14ac:dyDescent="0.25">
      <c r="M81" s="8">
        <v>48</v>
      </c>
      <c r="P81" s="8"/>
    </row>
    <row r="82" spans="10:18" x14ac:dyDescent="0.25">
      <c r="M82" s="8">
        <v>49</v>
      </c>
      <c r="N82" t="s">
        <v>157</v>
      </c>
      <c r="O82" t="s">
        <v>150</v>
      </c>
      <c r="P82" s="8">
        <v>0</v>
      </c>
    </row>
    <row r="83" spans="10:18" x14ac:dyDescent="0.25">
      <c r="M83" s="8">
        <v>50</v>
      </c>
      <c r="P83" s="23"/>
    </row>
    <row r="84" spans="10:18" x14ac:dyDescent="0.25">
      <c r="M84" s="8">
        <v>51</v>
      </c>
      <c r="N84" t="s">
        <v>157</v>
      </c>
      <c r="O84" t="s">
        <v>150</v>
      </c>
      <c r="P84" s="23">
        <v>0</v>
      </c>
      <c r="R84" s="17">
        <v>10</v>
      </c>
    </row>
    <row r="85" spans="10:18" x14ac:dyDescent="0.25">
      <c r="M85" s="8">
        <v>52</v>
      </c>
      <c r="P85" s="8"/>
    </row>
    <row r="86" spans="10:18" x14ac:dyDescent="0.25">
      <c r="M86" s="8">
        <v>53</v>
      </c>
      <c r="N86" t="s">
        <v>157</v>
      </c>
      <c r="O86" t="s">
        <v>150</v>
      </c>
      <c r="P86" s="8">
        <v>0</v>
      </c>
    </row>
    <row r="87" spans="10:18" x14ac:dyDescent="0.25">
      <c r="M87" s="8">
        <v>54</v>
      </c>
      <c r="P87" s="8"/>
    </row>
    <row r="88" spans="10:18" x14ac:dyDescent="0.25">
      <c r="M88" s="8">
        <v>55</v>
      </c>
      <c r="N88" t="s">
        <v>157</v>
      </c>
      <c r="O88" t="s">
        <v>150</v>
      </c>
      <c r="P88" s="23">
        <v>0</v>
      </c>
      <c r="R88" s="17">
        <v>9</v>
      </c>
    </row>
    <row r="89" spans="10:18" x14ac:dyDescent="0.25">
      <c r="J89">
        <f ca="1">RAND()*-10</f>
        <v>-7.603472621808236</v>
      </c>
      <c r="M89" s="8">
        <v>56</v>
      </c>
    </row>
    <row r="90" spans="10:18" x14ac:dyDescent="0.25">
      <c r="M90" s="8">
        <v>57</v>
      </c>
      <c r="N90" t="s">
        <v>157</v>
      </c>
      <c r="O90" t="s">
        <v>150</v>
      </c>
      <c r="P90">
        <v>35.5</v>
      </c>
    </row>
    <row r="91" spans="10:18" x14ac:dyDescent="0.25">
      <c r="M91" s="8">
        <v>94</v>
      </c>
      <c r="N91" t="s">
        <v>157</v>
      </c>
      <c r="O91" t="s">
        <v>193</v>
      </c>
      <c r="P91">
        <v>-9.6</v>
      </c>
    </row>
    <row r="92" spans="10:18" x14ac:dyDescent="0.25">
      <c r="M92" s="8">
        <v>95</v>
      </c>
      <c r="N92" t="s">
        <v>157</v>
      </c>
      <c r="O92" t="s">
        <v>193</v>
      </c>
      <c r="P92">
        <v>-8.1999999999999993</v>
      </c>
    </row>
    <row r="93" spans="10:18" x14ac:dyDescent="0.25">
      <c r="M93" s="8">
        <v>96</v>
      </c>
      <c r="N93" t="s">
        <v>157</v>
      </c>
      <c r="O93" t="s">
        <v>193</v>
      </c>
      <c r="P93">
        <v>-4</v>
      </c>
    </row>
    <row r="94" spans="10:18" x14ac:dyDescent="0.25">
      <c r="M94" s="8">
        <v>97</v>
      </c>
      <c r="N94" t="s">
        <v>157</v>
      </c>
      <c r="O94" t="s">
        <v>193</v>
      </c>
      <c r="P94">
        <v>-6.7</v>
      </c>
    </row>
    <row r="95" spans="10:18" x14ac:dyDescent="0.25">
      <c r="M95" s="8">
        <v>98</v>
      </c>
      <c r="N95" t="s">
        <v>157</v>
      </c>
      <c r="O95" t="s">
        <v>193</v>
      </c>
      <c r="P95">
        <v>-9.1</v>
      </c>
    </row>
    <row r="96" spans="10:18" x14ac:dyDescent="0.25">
      <c r="M96" s="8">
        <v>99</v>
      </c>
      <c r="N96" t="s">
        <v>157</v>
      </c>
      <c r="O96" t="s">
        <v>193</v>
      </c>
      <c r="P96">
        <v>-2.5</v>
      </c>
    </row>
    <row r="97" spans="13:18" x14ac:dyDescent="0.25">
      <c r="M97" s="8">
        <v>100</v>
      </c>
      <c r="N97" t="s">
        <v>157</v>
      </c>
      <c r="O97" t="s">
        <v>193</v>
      </c>
      <c r="P97">
        <v>-3.9</v>
      </c>
    </row>
    <row r="98" spans="13:18" x14ac:dyDescent="0.25">
      <c r="M98" s="8">
        <v>101</v>
      </c>
      <c r="N98" t="s">
        <v>157</v>
      </c>
      <c r="O98" t="s">
        <v>193</v>
      </c>
      <c r="P98">
        <v>-3.2</v>
      </c>
    </row>
    <row r="99" spans="13:18" x14ac:dyDescent="0.25">
      <c r="M99" s="8">
        <v>102</v>
      </c>
      <c r="N99" t="s">
        <v>157</v>
      </c>
      <c r="O99" t="s">
        <v>193</v>
      </c>
      <c r="P99">
        <v>-2.8</v>
      </c>
    </row>
    <row r="100" spans="13:18" x14ac:dyDescent="0.25">
      <c r="M100" s="8">
        <v>103</v>
      </c>
      <c r="N100" t="s">
        <v>157</v>
      </c>
      <c r="O100" t="s">
        <v>193</v>
      </c>
      <c r="P100">
        <v>-8.8000000000000007</v>
      </c>
    </row>
    <row r="101" spans="13:18" x14ac:dyDescent="0.25">
      <c r="M101" s="8">
        <v>104</v>
      </c>
      <c r="N101" t="s">
        <v>157</v>
      </c>
      <c r="O101" t="s">
        <v>193</v>
      </c>
      <c r="P101">
        <v>-0.5</v>
      </c>
    </row>
    <row r="102" spans="13:18" x14ac:dyDescent="0.25">
      <c r="M102" s="8">
        <v>105</v>
      </c>
      <c r="N102" t="s">
        <v>157</v>
      </c>
      <c r="O102" t="s">
        <v>193</v>
      </c>
      <c r="P102">
        <v>-4.9000000000000004</v>
      </c>
    </row>
    <row r="103" spans="13:18" x14ac:dyDescent="0.25">
      <c r="M103" s="8">
        <v>106</v>
      </c>
      <c r="N103" t="s">
        <v>157</v>
      </c>
      <c r="O103" t="s">
        <v>193</v>
      </c>
      <c r="P103">
        <v>-9.9</v>
      </c>
    </row>
    <row r="109" spans="13:18" x14ac:dyDescent="0.25">
      <c r="M109"/>
      <c r="Q109"/>
      <c r="R109"/>
    </row>
    <row r="110" spans="13:18" x14ac:dyDescent="0.25">
      <c r="P110" s="23"/>
    </row>
    <row r="111" spans="13:18" x14ac:dyDescent="0.25">
      <c r="P111" s="23"/>
    </row>
    <row r="112" spans="13:18" x14ac:dyDescent="0.25">
      <c r="P112" s="23"/>
    </row>
    <row r="113" spans="16:16" x14ac:dyDescent="0.25">
      <c r="P113" s="23"/>
    </row>
    <row r="114" spans="16:16" x14ac:dyDescent="0.25">
      <c r="P114" s="23"/>
    </row>
    <row r="115" spans="16:16" x14ac:dyDescent="0.25">
      <c r="P115" s="23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20"/>
  </cols>
  <sheetData>
    <row r="1" spans="1:7" x14ac:dyDescent="0.25">
      <c r="A1">
        <f ca="1">RAND()*MAX(E:E)</f>
        <v>539.07855319373107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9" t="s">
        <v>184</v>
      </c>
      <c r="F5" s="21"/>
      <c r="G5" s="21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20">
        <f>D6</f>
        <v>100</v>
      </c>
      <c r="F6" s="20">
        <v>0</v>
      </c>
      <c r="G6" s="20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20">
        <f>D7+E6</f>
        <v>200</v>
      </c>
      <c r="F7" s="20">
        <f>E6</f>
        <v>100</v>
      </c>
      <c r="G7" s="20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20">
        <f t="shared" ref="E8:E34" si="0">D8+E7</f>
        <v>300</v>
      </c>
      <c r="F8" s="20">
        <f t="shared" ref="F8:F34" si="1">E7</f>
        <v>200</v>
      </c>
      <c r="G8" s="20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20">
        <f t="shared" si="0"/>
        <v>800</v>
      </c>
      <c r="F9" s="20">
        <f t="shared" si="1"/>
        <v>300</v>
      </c>
      <c r="G9" s="20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20">
        <f t="shared" si="0"/>
        <v>1300</v>
      </c>
      <c r="F10" s="20">
        <f t="shared" si="1"/>
        <v>800</v>
      </c>
      <c r="G10" s="20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20">
        <f t="shared" si="0"/>
        <v>1550</v>
      </c>
      <c r="F11" s="20">
        <f t="shared" si="1"/>
        <v>1300</v>
      </c>
      <c r="G11" s="20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20">
        <f t="shared" si="0"/>
        <v>1630</v>
      </c>
      <c r="F12" s="20">
        <f t="shared" si="1"/>
        <v>1550</v>
      </c>
      <c r="G12" s="20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20">
        <f t="shared" si="0"/>
        <v>1710</v>
      </c>
      <c r="F13" s="20">
        <f t="shared" si="1"/>
        <v>1630</v>
      </c>
      <c r="G13" s="20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20">
        <f t="shared" si="0"/>
        <v>1790</v>
      </c>
      <c r="F14" s="20">
        <f t="shared" si="1"/>
        <v>1710</v>
      </c>
      <c r="G14" s="20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20">
        <f t="shared" si="0"/>
        <v>1870</v>
      </c>
      <c r="F15" s="20">
        <f t="shared" si="1"/>
        <v>1790</v>
      </c>
      <c r="G15" s="20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20">
        <f t="shared" si="0"/>
        <v>1950</v>
      </c>
      <c r="F16" s="20">
        <f t="shared" si="1"/>
        <v>1870</v>
      </c>
      <c r="G16" s="20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20">
        <f t="shared" si="0"/>
        <v>2030</v>
      </c>
      <c r="F17" s="20">
        <f t="shared" si="1"/>
        <v>1950</v>
      </c>
      <c r="G17" s="20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20">
        <f t="shared" si="0"/>
        <v>2110</v>
      </c>
      <c r="F18" s="20">
        <f t="shared" si="1"/>
        <v>2030</v>
      </c>
      <c r="G18" s="20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20">
        <f t="shared" si="0"/>
        <v>2190</v>
      </c>
      <c r="F19" s="20">
        <f t="shared" si="1"/>
        <v>2110</v>
      </c>
      <c r="G19" s="20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20">
        <f t="shared" si="0"/>
        <v>2270</v>
      </c>
      <c r="F20" s="20">
        <f t="shared" si="1"/>
        <v>2190</v>
      </c>
      <c r="G20" s="20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20">
        <f t="shared" si="0"/>
        <v>2350</v>
      </c>
      <c r="F21" s="20">
        <f t="shared" si="1"/>
        <v>2270</v>
      </c>
      <c r="G21" s="20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20">
        <f t="shared" si="0"/>
        <v>2400</v>
      </c>
      <c r="F22" s="20">
        <f t="shared" si="1"/>
        <v>2350</v>
      </c>
      <c r="G22" s="20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20">
        <f t="shared" si="0"/>
        <v>2450</v>
      </c>
      <c r="F23" s="20">
        <f t="shared" si="1"/>
        <v>2400</v>
      </c>
      <c r="G23" s="20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20">
        <f t="shared" si="0"/>
        <v>2500</v>
      </c>
      <c r="F24" s="20">
        <f t="shared" si="1"/>
        <v>2450</v>
      </c>
      <c r="G24" s="20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20">
        <f t="shared" si="0"/>
        <v>2580</v>
      </c>
      <c r="F25" s="20">
        <f t="shared" si="1"/>
        <v>2500</v>
      </c>
      <c r="G25" s="20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20">
        <f t="shared" si="0"/>
        <v>2660</v>
      </c>
      <c r="F26" s="20">
        <f t="shared" si="1"/>
        <v>2580</v>
      </c>
      <c r="G26" s="20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20">
        <f t="shared" si="0"/>
        <v>2740</v>
      </c>
      <c r="F27" s="20">
        <f t="shared" si="1"/>
        <v>2660</v>
      </c>
      <c r="G27" s="20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20">
        <f t="shared" si="0"/>
        <v>2820</v>
      </c>
      <c r="F28" s="20">
        <f t="shared" si="1"/>
        <v>2740</v>
      </c>
      <c r="G28" s="20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20">
        <f t="shared" si="0"/>
        <v>2900</v>
      </c>
      <c r="F29" s="20">
        <f t="shared" si="1"/>
        <v>2820</v>
      </c>
      <c r="G29" s="20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20">
        <f t="shared" si="0"/>
        <v>2980</v>
      </c>
      <c r="F30" s="20">
        <f t="shared" si="1"/>
        <v>2900</v>
      </c>
      <c r="G30" s="20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20">
        <f t="shared" si="0"/>
        <v>3060</v>
      </c>
      <c r="F31" s="20">
        <f t="shared" si="1"/>
        <v>2980</v>
      </c>
      <c r="G31" s="20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20">
        <f t="shared" si="0"/>
        <v>3140</v>
      </c>
      <c r="F32" s="20">
        <f t="shared" si="1"/>
        <v>3060</v>
      </c>
      <c r="G32" s="20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20">
        <f t="shared" si="0"/>
        <v>3220</v>
      </c>
      <c r="F33" s="20">
        <f t="shared" si="1"/>
        <v>3140</v>
      </c>
      <c r="G33" s="20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20">
        <f t="shared" si="0"/>
        <v>3300</v>
      </c>
      <c r="F34" s="20">
        <f t="shared" si="1"/>
        <v>3220</v>
      </c>
      <c r="G34" s="20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7" sqref="E2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2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3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4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>D30+E30</f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>D31+E31</f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>D32+E32</f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>D33+E33</f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>D34+E34</f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I12" sqref="I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2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 t="shared" ref="C6:E6" si="0">SUMIFS($F:$F,$A:$A,C$5,$B:$B,$A$6)</f>
        <v>16.666666666666668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3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86.330493226073997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14.028705149237025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191</v>
      </c>
      <c r="C25">
        <v>150</v>
      </c>
      <c r="D25" s="8">
        <f>$C25/LOOKUP($A25,'STAT COSTS'!$A:$A,'STAT COSTS'!$B:$B)</f>
        <v>16.666666666666668</v>
      </c>
      <c r="F25" s="8">
        <f t="shared" si="1"/>
        <v>16.666666666666668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192</v>
      </c>
      <c r="B28" t="s">
        <v>191</v>
      </c>
      <c r="C28">
        <v>50</v>
      </c>
      <c r="D28" s="8">
        <f>$C28/LOOKUP($A28,'STAT COSTS'!$A:$A,'STAT COSTS'!$B:$B)</f>
        <v>6.25E-2</v>
      </c>
      <c r="E28" s="8">
        <v>0.1</v>
      </c>
      <c r="F28" s="14">
        <f t="shared" si="1"/>
        <v>0.16250000000000001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>D30+E30</f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>D31+E31</f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>D32+E32</f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>D33+E33</f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>D34+E34</f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2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>D29+E29</f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>D30+E30</f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>D31+E31</f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>D32+E32</f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>D33+E33</f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10" t="s">
        <v>95</v>
      </c>
      <c r="D2" s="10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A14" sqref="A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192</v>
      </c>
      <c r="B14">
        <v>800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2024-12-06T09:21:37Z</dcterms:modified>
</cp:coreProperties>
</file>
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05D4DF91-2C6F-4CDC-B4A3-996F68D2FCCA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<sst xmlns="http://schemas.openxmlformats.org/spreadsheetml/2006/main" count="639" uniqueCount="198">
  <si>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</si>
  <si>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</si>
  <si>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</si>
  <si>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</si>
  <si>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</si>
  <si>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</si>
  <si>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</si>
  <si>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</si>
  <si>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</si>
  <si>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</si>
  <si>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</si>
  <si>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</si>
  <si>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</si>
  <si>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</si>
  <si>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</si>
  <si>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</si>
  <si>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</si>
  <si>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</si>
  <si>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</si>
  <si>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</si>
  <si>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</si>
  <si>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</si>
  <si>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</si>
  <si>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</si>
  <si>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</si>
  <si>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</si>
  <si>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</si>
  <si>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</si>
  <si>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</si>
  <si>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</si>
  <si>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</si>
  <si>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</si>
  <si>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</si>
  <si>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</si>
  <si>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</si>
  <si>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</si>
  <si>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</si>
  <si>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</si>
  <si>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</si>
  <si>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</si>
  <si>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</si>
  <si>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</si>
  <si>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</si>
  <si>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</si>
  <si>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</si>
  <si>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</si>
  <si>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</si>
  <si>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</si>
  <si>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</si>
  <si>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</si>
  <si>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</si>
  <si>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</si>
  <si>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</si>
  <si>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</si>
  <si>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</si>
  <si>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</si>
  <si>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</si>
  <si>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</si>
  <si>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</si>
  <si>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</si>
  <si>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</si>
  <si>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</si>
  <si>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</si>
  <si>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</si>
  <si>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</si>
  <si>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</si>
  <si>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</si>
  <si>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</si>
  <si>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</si>
  <si>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</si>
  <si>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</si>
  <si>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</si>
  <si>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</si>
  <si>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</si>
  <si>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</si>
  <si>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</si>
  <si>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</si>
  <si>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</si>
  <si>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</si>
  <si>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</si>
  <si>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</si>
  <si>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</si>
  <si>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</si>
  <si>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</si>
  <si>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</si>
  <si>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</si>
  <si>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</si>
  <si>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</si>
  <si>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</si>
  <si>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</si>
  <si>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</si>
  <si>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</si>
  <si>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</si>
  <si>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</si>
  <si>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</si>
  <si>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</si>
  <si>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</si>
  <si>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</si>
  <si>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</si>
  <si>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</si>
  <si>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</si>
  <si>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</si>
  <si>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</si>
  <si>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</si>
  <si>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</si>
  <si>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</si>
  <si>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</si>
  <si>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</si>
  <si>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</si>
  <si>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</si>
  <si>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</si>
  <si>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</si>
  <si>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</si>
  <si>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</si>
  <si>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</si>
  <si>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</si>
  <si>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</si>
  <si>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</si>
  <si>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</si>
  <si>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</si>
  <si>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</si>
  <si>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</si>
  <si>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</si>
  <si>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</si>
  <si>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</si>
  <si>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</si>
  <si>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</si>
  <si>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</si>
  <si>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</si>
  <si>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</si>
  <si>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</si>
  <si>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</si>
  <si>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</si>
  <si>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</si>
  <si>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</si>
  <si>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</si>
  <si>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</si>
  <si>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</si>
  <si>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</si>
  <si>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</si>
  <si>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</si>
  <si>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</si>
  <si>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</si>
  <si>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</si>
  <si>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</si>
  <si>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</si>
  <si>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</si>
  <si>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</si>
  <si>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</si>
  <si>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</si>
  <si>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</si>
  <si>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</si>
  <si>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</si>
  <si>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</si>
  <si>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</si>
  <si>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</si>
  <si>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</si>
  <si>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</si>
  <si>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</si>
  <si>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</si>
  <si>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</si>
  <si>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</si>
  <si>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</si>
  <si>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</si>
  <si>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</si>
  <si>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</si>
  <si>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</si>
  <si>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</si>
  <si>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</si>
  <si>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</si>
  <si>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</si>
  <si>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</si>
  <si>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</si>
  <si>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</si>
  <si>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</si>
  <si>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</si>
  <si>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</si>
  <si>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</si>
  <si>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</si>
  <si>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</si>
  <si>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</si>
  <si>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</si>
  <si>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</si>
  <si>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</si>
  <si>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</si>
  <si>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</si>
  <si>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</si>
  <si>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</si>
  <si>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</si>
  <si>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</si>
  <si>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</si>
  <si>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</si>
  <si>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</si>
  <si>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</si>
  <si>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</si>
  <si>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</si>
  <si>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</si>
  <si>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(15 + d74) x0.4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</si>
</sst>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2597</xdr:colOff>
          <xdr:row>13</xdr:row>
          <xdr:rowOff>163657</xdr:rowOff>
        </xdr:from>
        <xdr:to>
          <xdr:col>6</xdr:col>
          <xdr:colOff>8659</xdr:colOff>
          <xdr:row>15</xdr:row>
          <xdr:rowOff>1732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D5" sqref="D5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/>
      <c r="F5" s="19"/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/>
      <c r="F7" s="19"/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/>
      <c r="F8" s="19"/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str">
        <f>IF(NOT(ISBLANK(E5)),IF(I5&gt;I7*2, "CRIT!",IF(I5&gt;I7,"HIT","miss")),"")</f>
        <v/>
      </c>
      <c r="K9" s="2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/>
      <c r="F10" s="19"/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str">
        <f>IF(NOT(ISBLANK(E5)),IF(IF(I5&gt;I7*2,I9*2,I9)&gt;I10,"WOUNDED",""),"")</f>
        <v/>
      </c>
      <c r="K10" s="2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/>
      <c r="F11" s="19"/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str">
        <f>IF(NOT(ISBLANK(E5)),IF(IF(I5&gt;I7*2,I9*2,I9)&gt;I11,"WINCED",""),"")</f>
        <v/>
      </c>
      <c r="K11" s="2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/>
      <c r="F12" s="19"/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IF(I9&gt;0,IF(SUMIF(A18:A27,A12,F18:F27)-SUMIF(A18:A27,A12,E18:E27)&gt;I12,"UNCONSCIOUS",""),"")</f>
        <v>#N/A</v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5" spans="1:24" x14ac:dyDescent="0.25">
      <c r="A15" t="s">
        <v>134</v>
      </c>
      <c r="B15" t="s">
        <v>15</v>
      </c>
      <c r="C15" t="s">
        <v>16</v>
      </c>
      <c r="D15" t="s">
        <v>197</v>
      </c>
      <c r="E15" s="8">
        <v>29.398208522796633</v>
      </c>
      <c r="G15" t="s">
        <v>192</v>
      </c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113.3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 B15:C15 G15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397.80320094773924</v>
      </c>
      <c r="B1">
        <f ca="1">SUMIFS(G:G,E:E,"&gt;="&amp;A1,F:F,"&lt;"&amp;A1)</f>
        <v>3</v>
      </c>
      <c r="E1"/>
    </row>
    <row r="3" spans="1:7" x14ac:dyDescent="0.25">
      <c r="A3" t="str">
        <f ca="1">LOOKUP($B$1,$G:$G,A:A)</f>
        <v>Chest</v>
      </c>
      <c r="B3" t="str">
        <f ca="1">LOOKUP($B$1,$G:$G,B:B)</f>
        <v>Front</v>
      </c>
      <c r="C3" t="str">
        <f ca="1">LOOKUP($B$1,$G:$G,C:C)</f>
        <v>Constitution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0"/>
        <v>0.4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A6" sqref="A6:A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500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2024-12-08T03:00:21Z</dcterms:modified>
</cp:coreProperties>
</file>
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54B4E60D-B63C-4CF4-A308-40C323210F17}" xr6:coauthVersionLast="47" xr6:coauthVersionMax="47" xr10:uidLastSave="{00000000-0000-0000-0000-000000000000}"/>
  <bookViews>
    <workbookView xWindow="5640" yWindow="0" windowWidth="30240" windowHeight="20985" tabRatio="809" activeTab="7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Raccoon" sheetId="21" r:id="rId8"/>
    <sheet name="Mudrich" sheetId="19" r:id="rId9"/>
    <sheet name="Cat Soldier" sheetId="14" r:id="rId10"/>
    <sheet name="Weapons" sheetId="9" r:id="rId11"/>
    <sheet name="Features" sheetId="11" r:id="rId12"/>
    <sheet name="Features (Species)" sheetId="12" r:id="rId13"/>
    <sheet name="STAT COSTS" sheetId="7" r:id="rId14"/>
    <sheet name="Fang" sheetId="20" r:id="rId15"/>
    <sheet name="Sources" sheetId="4" r:id="rId16"/>
    <sheet name="Changelog" sheetId="10" r:id="rId17"/>
  </sheets>
  <definedNames>
    <definedName name="_xleta.IF" hidden="1" xlm="1">#NAME?</definedName>
    <definedName name="_xleta.N" hidden="1" xlm="1">#NAME?</definedName>
    <definedName name="_xleta.R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6" i="21" l="1"/>
  <c r="F36" i="21" s="1"/>
  <c r="E36" i="21"/>
  <c r="D37" i="21"/>
  <c r="E37" i="21"/>
  <c r="F37" i="21" s="1"/>
  <c r="D38" i="21"/>
  <c r="F38" i="21" s="1"/>
  <c r="E38" i="21"/>
  <c r="D39" i="21"/>
  <c r="F39" i="21" s="1"/>
  <c r="E39" i="21"/>
  <c r="E31" i="21"/>
  <c r="F35" i="21"/>
  <c r="D35" i="21"/>
  <c r="E35" i="21"/>
  <c r="E18" i="21"/>
  <c r="E19" i="21"/>
  <c r="E20" i="21"/>
  <c r="E21" i="21"/>
  <c r="E17" i="21"/>
  <c r="E16" i="21"/>
  <c r="E10" i="21"/>
  <c r="E11" i="21"/>
  <c r="E12" i="21"/>
  <c r="E13" i="21"/>
  <c r="E14" i="21"/>
  <c r="E15" i="21"/>
  <c r="E22" i="21"/>
  <c r="E9" i="21"/>
  <c r="K58" i="16"/>
  <c r="K56" i="16"/>
  <c r="K57" i="16"/>
  <c r="D34" i="21"/>
  <c r="F34" i="21" s="1"/>
  <c r="D33" i="21"/>
  <c r="F33" i="21" s="1"/>
  <c r="D32" i="21"/>
  <c r="F32" i="21" s="1"/>
  <c r="D31" i="21"/>
  <c r="D30" i="21"/>
  <c r="F30" i="21" s="1"/>
  <c r="D29" i="21"/>
  <c r="F29" i="21" s="1"/>
  <c r="D28" i="21"/>
  <c r="F28" i="21" s="1"/>
  <c r="D27" i="21"/>
  <c r="F27" i="21" s="1"/>
  <c r="F6" i="21" s="1"/>
  <c r="D26" i="21"/>
  <c r="F26" i="21" s="1"/>
  <c r="E6" i="21" s="1"/>
  <c r="D25" i="21"/>
  <c r="F25" i="21" s="1"/>
  <c r="C6" i="21" s="1"/>
  <c r="D24" i="21"/>
  <c r="F24" i="21" s="1"/>
  <c r="B6" i="21" s="1"/>
  <c r="D23" i="21"/>
  <c r="D22" i="21"/>
  <c r="D21" i="21"/>
  <c r="D20" i="21"/>
  <c r="D19" i="21"/>
  <c r="D18" i="21"/>
  <c r="D17" i="21"/>
  <c r="D16" i="21"/>
  <c r="D15" i="21"/>
  <c r="D14" i="21"/>
  <c r="D13" i="21"/>
  <c r="D12" i="21"/>
  <c r="D11" i="21"/>
  <c r="D10" i="21"/>
  <c r="D9" i="21"/>
  <c r="D6" i="21"/>
  <c r="C3" i="21"/>
  <c r="K54" i="16"/>
  <c r="K55" i="16"/>
  <c r="K53" i="16"/>
  <c r="K52" i="16"/>
  <c r="K51" i="16"/>
  <c r="K50" i="16"/>
  <c r="K49" i="16"/>
  <c r="K48" i="16"/>
  <c r="K47" i="16"/>
  <c r="K46" i="16"/>
  <c r="K45" i="16"/>
  <c r="K44" i="16"/>
  <c r="K43" i="16"/>
  <c r="K42" i="16"/>
  <c r="K41" i="16"/>
  <c r="F31" i="21" l="1"/>
  <c r="F9" i="21"/>
  <c r="F20" i="21" s="1"/>
  <c r="F14" i="21"/>
  <c r="F10" i="21"/>
  <c r="F18" i="21"/>
  <c r="F12" i="21"/>
  <c r="E23" i="21" l="1"/>
  <c r="F23" i="21" s="1"/>
  <c r="F15" i="21"/>
  <c r="F16" i="21"/>
  <c r="F13" i="21"/>
  <c r="F11" i="21"/>
  <c r="F21" i="21"/>
  <c r="F22" i="21"/>
  <c r="F17" i="21"/>
  <c r="F19" i="21"/>
  <c r="I12" i="14" l="1"/>
  <c r="H12" i="14"/>
  <c r="C31" i="5"/>
  <c r="E85" i="5"/>
  <c r="C85" i="5"/>
  <c r="D29" i="19"/>
  <c r="F29" i="19" s="1"/>
  <c r="D30" i="19"/>
  <c r="F30" i="19" s="1"/>
  <c r="G85" i="5" l="1"/>
  <c r="J28" i="5"/>
  <c r="D31" i="13"/>
  <c r="D32" i="13"/>
  <c r="D33" i="13"/>
  <c r="D34" i="13"/>
  <c r="D33" i="19"/>
  <c r="F33" i="19" s="1"/>
  <c r="D34" i="19"/>
  <c r="F34" i="19" s="1"/>
  <c r="D35" i="19"/>
  <c r="F35" i="19" s="1"/>
  <c r="D36" i="19"/>
  <c r="F36" i="19" s="1"/>
  <c r="D32" i="19"/>
  <c r="F32" i="19" s="1"/>
  <c r="D31" i="19"/>
  <c r="F31" i="19" s="1"/>
  <c r="D28" i="19"/>
  <c r="F28" i="19" s="1"/>
  <c r="D27" i="19"/>
  <c r="F27" i="19" s="1"/>
  <c r="F6" i="19" s="1"/>
  <c r="D26" i="19"/>
  <c r="F26" i="19" s="1"/>
  <c r="E6" i="19" s="1"/>
  <c r="D25" i="19"/>
  <c r="F25" i="19" s="1"/>
  <c r="C6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D6" i="19"/>
  <c r="C3" i="19"/>
  <c r="E6" i="18"/>
  <c r="F7" i="18" s="1"/>
  <c r="G6" i="5" a="1"/>
  <c r="F9" i="19" l="1"/>
  <c r="E12" i="19" s="1"/>
  <c r="F12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8" i="19"/>
  <c r="F18" i="19" s="1"/>
  <c r="G6" i="5"/>
  <c r="E7" i="18"/>
  <c r="E17" i="19" l="1"/>
  <c r="F17" i="19" s="1"/>
  <c r="E23" i="19"/>
  <c r="F23" i="19" s="1"/>
  <c r="E14" i="19"/>
  <c r="F14" i="19" s="1"/>
  <c r="E20" i="19"/>
  <c r="F20" i="19" s="1"/>
  <c r="E19" i="19"/>
  <c r="F19" i="19" s="1"/>
  <c r="E13" i="19"/>
  <c r="F13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C6" i="5" a="1"/>
  <c r="D21" i="5" a="1"/>
  <c r="C25" i="5" a="1"/>
  <c r="D22" i="5" a="1"/>
  <c r="D19" i="5" a="1"/>
  <c r="D23" i="5" a="1"/>
  <c r="D24" i="5" a="1"/>
  <c r="D26" i="5" a="1"/>
  <c r="C26" i="5" a="1"/>
  <c r="C24" i="5" a="1"/>
  <c r="D18" i="5" a="1"/>
  <c r="C22" i="5" a="1"/>
  <c r="C27" i="5" a="1"/>
  <c r="D25" i="5" a="1"/>
  <c r="C20" i="5" a="1"/>
  <c r="C19" i="5" a="1"/>
  <c r="C18" i="5" a="1"/>
  <c r="D27" i="5" a="1"/>
  <c r="C21" i="5" a="1"/>
  <c r="C23" i="5" a="1"/>
  <c r="D20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H9" i="5" a="1"/>
  <c r="C5" i="5" a="1"/>
  <c r="C8" i="5" a="1"/>
  <c r="C5" i="5" l="1"/>
  <c r="B85" i="5" s="1"/>
  <c r="C8" i="5"/>
  <c r="H9" i="5"/>
  <c r="I6" i="5"/>
  <c r="F9" i="14"/>
  <c r="F24" i="5" a="1"/>
  <c r="F27" i="5" a="1"/>
  <c r="F20" i="5" a="1"/>
  <c r="F23" i="5" a="1"/>
  <c r="F25" i="5" a="1"/>
  <c r="F22" i="5" a="1"/>
  <c r="F26" i="5" a="1"/>
  <c r="F21" i="5" a="1"/>
  <c r="F19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11" i="5" a="1"/>
  <c r="H27" i="5" a="1"/>
  <c r="H22" i="5" a="1"/>
  <c r="H23" i="5" a="1"/>
  <c r="G7" i="5" a="1"/>
  <c r="H25" i="5" a="1"/>
  <c r="G10" i="5" a="1"/>
  <c r="H26" i="5" a="1"/>
  <c r="C7" i="5" a="1"/>
  <c r="H21" i="5" a="1"/>
  <c r="H24" i="5" a="1"/>
  <c r="G9" i="5" a="1"/>
  <c r="G11" i="5" a="1"/>
  <c r="C10" i="5" a="1"/>
  <c r="H19" i="5" a="1"/>
  <c r="G12" i="5" a="1"/>
  <c r="H20" i="5" a="1"/>
  <c r="C7" i="5" l="1"/>
  <c r="G7" i="5"/>
  <c r="G12" i="5"/>
  <c r="G11" i="5"/>
  <c r="G10" i="5"/>
  <c r="G9" i="5"/>
  <c r="C11" i="5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D85" i="5" l="1"/>
  <c r="I11" i="5"/>
  <c r="I7" i="5"/>
  <c r="F85" i="5" l="1"/>
  <c r="J85" i="5" s="1"/>
  <c r="H85" i="5"/>
  <c r="F27" i="8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G5" i="5" a="1"/>
  <c r="G8" i="5" a="1"/>
  <c r="H18" i="5" a="1"/>
  <c r="C12" i="5" a="1"/>
  <c r="G8" i="5" l="1"/>
  <c r="G5" i="5"/>
  <c r="I5" i="5" s="1"/>
  <c r="H18" i="5"/>
  <c r="G18" i="5" s="1"/>
  <c r="C12" i="5"/>
  <c r="B3" i="18"/>
  <c r="A3" i="18"/>
  <c r="H8" i="5" a="1"/>
  <c r="H8" i="5" l="1"/>
  <c r="I8" i="5" s="1"/>
  <c r="I9" i="5" s="1"/>
  <c r="J10" i="5" s="1"/>
  <c r="J9" i="5"/>
  <c r="I12" i="5"/>
  <c r="J11" i="5" l="1"/>
  <c r="J1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<sst xmlns="http://schemas.openxmlformats.org/spreadsheetml/2006/main" count="964" uniqueCount="251">
  <si>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</si>
  <si>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</si>
  <si>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</si>
  <si>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</si>
  <si>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</si>
  <si>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</si>
  <si>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</si>
  <si>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</si>
  <si>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</si>
  <si>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</si>
  <si>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</si>
  <si>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</si>
  <si>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</si>
  <si>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</si>
  <si>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</si>
  <si>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</si>
  <si>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</si>
  <si>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</si>
  <si>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</si>
  <si>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</si>
  <si>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</si>
  <si>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</si>
  <si>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</si>
  <si>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</si>
  <si>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</si>
  <si>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</si>
  <si>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</si>
  <si>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</si>
  <si>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</si>
  <si>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</si>
  <si>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</si>
  <si>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</si>
  <si>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</si>
  <si>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</si>
  <si>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</si>
  <si>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</si>
  <si>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</si>
  <si>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</si>
  <si>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</si>
  <si>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</si>
  <si>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</si>
  <si>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</si>
  <si>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</si>
  <si>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</si>
  <si>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</si>
  <si>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</si>
  <si>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</si>
  <si>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</si>
  <si>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</si>
  <si>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</si>
  <si>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</si>
  <si>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</si>
  <si>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</si>
  <si>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</si>
  <si>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</si>
  <si>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</si>
  <si>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</si>
  <si>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</si>
  <si>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</si>
  <si>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</si>
  <si>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</si>
  <si>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</si>
  <si>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</si>
  <si>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</si>
  <si>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</si>
  <si>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</si>
  <si>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</si>
  <si>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</si>
  <si>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</si>
  <si>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</si>
  <si>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</si>
  <si>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</si>
  <si>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</si>
  <si>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</si>
  <si>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</si>
  <si>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</si>
  <si>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</si>
  <si>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</si>
  <si>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</si>
  <si>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</si>
  <si>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</si>
  <si>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</si>
  <si>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</si>
  <si>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</si>
  <si>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</si>
  <si>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</si>
  <si>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</si>
  <si>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</si>
  <si>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</si>
  <si>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</si>
  <si>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</si>
  <si>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</si>
  <si>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</si>
  <si>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</si>
  <si>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</si>
  <si>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</si>
  <si>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</si>
  <si>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</si>
  <si>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</si>
  <si>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</si>
  <si>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</si>
  <si>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</si>
  <si>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</si>
  <si>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</si>
  <si>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</si>
  <si>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</si>
  <si>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</si>
  <si>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</si>
  <si>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</si>
  <si>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</si>
  <si>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</si>
  <si>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</si>
  <si>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</si>
  <si>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</si>
  <si>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</si>
  <si>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</si>
  <si>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</si>
  <si>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</si>
  <si>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</si>
  <si>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</si>
  <si>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</si>
  <si>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</si>
  <si>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</si>
  <si>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</si>
  <si>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</si>
  <si>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</si>
  <si>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</si>
  <si>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</si>
  <si>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</si>
  <si>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</si>
  <si>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</si>
  <si>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</si>
  <si>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</si>
  <si>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</si>
  <si>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</si>
  <si>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</si>
  <si>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</si>
  <si>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</si>
  <si>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</si>
  <si>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</si>
  <si>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</si>
  <si>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</si>
  <si>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</si>
  <si>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</si>
  <si>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</si>
  <si>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</si>
  <si>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</si>
  <si>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</si>
  <si>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</si>
  <si>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</si>
  <si>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</si>
  <si>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</si>
  <si>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</si>
  <si>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</si>
  <si>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</si>
  <si>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</si>
  <si>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</si>
  <si>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</si>
  <si>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</si>
  <si>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</si>
  <si>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</si>
  <si>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</si>
  <si>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</si>
  <si>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</si>
  <si>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</si>
  <si>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</si>
  <si>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</si>
  <si>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</si>
  <si>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</si>
  <si>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</si>
  <si>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</si>
  <si>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</si>
  <si>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</si>
  <si>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</si>
  <si>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</si>
  <si>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</si>
  <si>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</si>
  <si>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</si>
  <si>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</si>
  <si>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</si>
  <si>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</si>
  <si>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</si>
  <si>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</si>
  <si>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</si>
  <si>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</si>
  <si>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</si>
  <si>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</si>
  <si>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</si>
  <si>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</si>
  <si>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</si>
  <si>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</si>
  <si>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</si>
  <si>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Area Attacker</t>
  </si>
  <si>
    <t>Area Bonus Damage</t>
  </si>
  <si>
    <t>Area Bonus Damage Variance</t>
  </si>
  <si>
    <t>(12.7 + d42.2) x0.6</t>
  </si>
  <si>
    <t>n1</t>
  </si>
  <si>
    <t>k1</t>
  </si>
  <si>
    <t>n2</t>
  </si>
  <si>
    <t>k2</t>
  </si>
  <si>
    <t>min1</t>
  </si>
  <si>
    <t>max2</t>
  </si>
  <si>
    <t>min3</t>
  </si>
  <si>
    <t>sum</t>
  </si>
  <si>
    <t>n*(n+1)/2</t>
  </si>
  <si>
    <t>Dagger</t>
  </si>
  <si>
    <t>0 Fang</t>
  </si>
  <si>
    <t>Fang</t>
  </si>
  <si>
    <t>Defensive Duelist</t>
  </si>
  <si>
    <t>Dodge Bonus</t>
  </si>
  <si>
    <t>1 Cat Soldier</t>
  </si>
  <si>
    <t>Accuracy1</t>
  </si>
  <si>
    <t>Accuracy Variance1</t>
  </si>
  <si>
    <t>Damage Variance1</t>
  </si>
  <si>
    <t>Crit Factor1</t>
  </si>
  <si>
    <t>Search</t>
  </si>
  <si>
    <t>Charisma</t>
  </si>
  <si>
    <t>Scavenge</t>
  </si>
  <si>
    <t>Intimidate</t>
  </si>
  <si>
    <t>Courage</t>
  </si>
  <si>
    <t>Hope</t>
  </si>
  <si>
    <t>Stealth</t>
  </si>
  <si>
    <t>Raccoon</t>
  </si>
  <si>
    <t>Stealth Variance</t>
  </si>
  <si>
    <t>Sight</t>
  </si>
  <si>
    <t>Sight Variance</t>
  </si>
  <si>
    <t>Hearing</t>
  </si>
  <si>
    <t>Hearing Variance</t>
  </si>
  <si>
    <t>Smell</t>
  </si>
  <si>
    <t>Smell Variance</t>
  </si>
  <si>
    <t>Taste</t>
  </si>
  <si>
    <t>Taste Variance</t>
  </si>
  <si>
    <t>Touch</t>
  </si>
  <si>
    <t>Touch Variance</t>
  </si>
  <si>
    <t>Thermal Sense</t>
  </si>
  <si>
    <t>Thermal Sense Variation</t>
  </si>
  <si>
    <t>Direction Sense</t>
  </si>
  <si>
    <t>Direction Sense Variation</t>
  </si>
  <si>
    <t>Infrared Sense</t>
  </si>
  <si>
    <t>Infrared Sense Variation</t>
  </si>
  <si>
    <t>Search Variation</t>
  </si>
  <si>
    <t>Charisma Variation</t>
  </si>
  <si>
    <t>Scavenge Variation</t>
  </si>
  <si>
    <t>Intimidate Variation</t>
  </si>
  <si>
    <t>Courage Variation</t>
  </si>
  <si>
    <t>Hope Variation</t>
  </si>
  <si>
    <t>Tinkering</t>
  </si>
  <si>
    <t>Tinkering Variance</t>
  </si>
  <si>
    <t>Lockpicking</t>
  </si>
  <si>
    <t>Lockpicking Variance</t>
  </si>
  <si>
    <t xml:space="preserve">Lockpicking Tinkering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</si>
</sst>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2" fontId="0" fillId="0" borderId="3" xfId="0" applyNumberFormat="1" applyBorder="1"/>
    <xf numFmtId="0" fontId="0" fillId="0" borderId="4" xfId="0" applyBorder="1"/>
    <xf numFmtId="164" fontId="0" fillId="0" borderId="4" xfId="0" applyNumberFormat="1" applyBorder="1"/>
    <xf numFmtId="1" fontId="0" fillId="0" borderId="4" xfId="0" applyNumberFormat="1" applyBorder="1"/>
    <xf numFmtId="1" fontId="0" fillId="0" borderId="5" xfId="0" applyNumberForma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180975</xdr:rowOff>
        </xdr:from>
        <xdr:to>
          <xdr:col>17</xdr:col>
          <xdr:colOff>666750</xdr:colOff>
          <xdr:row>1</xdr:row>
          <xdr:rowOff>180975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180975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4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4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4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4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4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352425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66675</xdr:rowOff>
        </xdr:from>
        <xdr:to>
          <xdr:col>10</xdr:col>
          <xdr:colOff>695325</xdr:colOff>
          <xdr:row>8</xdr:row>
          <xdr:rowOff>123825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4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Record Rolls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13</xdr:row>
          <xdr:rowOff>161925</xdr:rowOff>
        </xdr:from>
        <xdr:to>
          <xdr:col>6</xdr:col>
          <xdr:colOff>9525</xdr:colOff>
          <xdr:row>15</xdr:row>
          <xdr:rowOff>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4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13</xdr:row>
          <xdr:rowOff>171450</xdr:rowOff>
        </xdr:from>
        <xdr:to>
          <xdr:col>9</xdr:col>
          <xdr:colOff>714375</xdr:colOff>
          <xdr:row>15</xdr:row>
          <xdr:rowOff>9525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4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Bonus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742950</xdr:colOff>
          <xdr:row>14</xdr:row>
          <xdr:rowOff>0</xdr:rowOff>
        </xdr:from>
        <xdr:to>
          <xdr:col>10</xdr:col>
          <xdr:colOff>38100</xdr:colOff>
          <xdr:row>15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4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-&gt;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1"/>
  <sheetViews>
    <sheetView workbookViewId="0">
      <selection activeCell="C11" sqref="C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  <row r="11" spans="1:2" x14ac:dyDescent="0.25">
      <c r="A11" t="s">
        <v>222</v>
      </c>
      <c r="B11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58"/>
  <sheetViews>
    <sheetView topLeftCell="A13" workbookViewId="0">
      <selection activeCell="B54" sqref="B54:B58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  <row r="41" spans="1:11" x14ac:dyDescent="0.25">
      <c r="A41" t="s">
        <v>222</v>
      </c>
      <c r="B41" t="s">
        <v>2</v>
      </c>
      <c r="E41">
        <v>7</v>
      </c>
      <c r="K41" s="8">
        <f>E41*SUMIF(Species!A:A,Species_Stats!A41,Species!B:B)</f>
        <v>147</v>
      </c>
    </row>
    <row r="42" spans="1:11" x14ac:dyDescent="0.25">
      <c r="A42" t="s">
        <v>222</v>
      </c>
      <c r="B42" t="s">
        <v>16</v>
      </c>
      <c r="E42">
        <v>1.5</v>
      </c>
      <c r="K42" s="8">
        <f>E42*SUMIF(Species!A:A,Species_Stats!A42,Species!B:B)</f>
        <v>31.5</v>
      </c>
    </row>
    <row r="43" spans="1:11" x14ac:dyDescent="0.25">
      <c r="A43" t="s">
        <v>222</v>
      </c>
      <c r="B43" t="s">
        <v>21</v>
      </c>
      <c r="D43">
        <v>1</v>
      </c>
      <c r="E43">
        <v>0.01</v>
      </c>
      <c r="K43" s="8">
        <f>E43*SUMIF(Species!A:A,Species_Stats!A43,Species!B:B)</f>
        <v>0.21</v>
      </c>
    </row>
    <row r="44" spans="1:11" x14ac:dyDescent="0.25">
      <c r="A44" t="s">
        <v>222</v>
      </c>
      <c r="B44" t="s">
        <v>22</v>
      </c>
      <c r="E44">
        <v>0.12</v>
      </c>
      <c r="K44" s="8">
        <f>E44*SUMIF(Species!A:A,Species_Stats!A44,Species!B:B)</f>
        <v>2.52</v>
      </c>
    </row>
    <row r="45" spans="1:11" x14ac:dyDescent="0.25">
      <c r="A45" t="s">
        <v>222</v>
      </c>
      <c r="B45" t="s">
        <v>13</v>
      </c>
      <c r="F45">
        <v>9.5000000000000001E-2</v>
      </c>
      <c r="K45" s="8">
        <f>E45*SUMIF(Species!A:A,Species_Stats!A45,Species!B:B)</f>
        <v>0</v>
      </c>
    </row>
    <row r="46" spans="1:11" x14ac:dyDescent="0.25">
      <c r="A46" t="s">
        <v>222</v>
      </c>
      <c r="B46" t="s">
        <v>14</v>
      </c>
      <c r="F46">
        <v>0.15</v>
      </c>
      <c r="K46" s="8">
        <f>E46*SUMIF(Species!A:A,Species_Stats!A46,Species!B:B)</f>
        <v>0</v>
      </c>
    </row>
    <row r="47" spans="1:11" x14ac:dyDescent="0.25">
      <c r="A47" t="s">
        <v>222</v>
      </c>
      <c r="B47" t="s">
        <v>11</v>
      </c>
      <c r="F47">
        <v>0.05</v>
      </c>
      <c r="K47" s="8">
        <f>E47*SUMIF(Species!A:A,Species_Stats!A47,Species!B:B)</f>
        <v>0</v>
      </c>
    </row>
    <row r="48" spans="1:11" x14ac:dyDescent="0.25">
      <c r="A48" t="s">
        <v>222</v>
      </c>
      <c r="B48" t="s">
        <v>12</v>
      </c>
      <c r="F48">
        <v>0.08</v>
      </c>
      <c r="K48" s="8">
        <f>E48*SUMIF(Species!A:A,Species_Stats!A48,Species!B:B)</f>
        <v>0</v>
      </c>
    </row>
    <row r="49" spans="1:11" x14ac:dyDescent="0.25">
      <c r="A49" t="s">
        <v>222</v>
      </c>
      <c r="B49" t="s">
        <v>19</v>
      </c>
      <c r="F49">
        <v>0.47</v>
      </c>
      <c r="K49" s="8">
        <f>E49*SUMIF(Species!A:A,Species_Stats!A49,Species!B:B)</f>
        <v>0</v>
      </c>
    </row>
    <row r="50" spans="1:11" x14ac:dyDescent="0.25">
      <c r="A50" t="s">
        <v>222</v>
      </c>
      <c r="B50" t="s">
        <v>17</v>
      </c>
      <c r="E50">
        <v>1</v>
      </c>
      <c r="K50" s="8">
        <f>E50*SUMIF(Species!A:A,Species_Stats!A50,Species!B:B)</f>
        <v>21</v>
      </c>
    </row>
    <row r="51" spans="1:11" x14ac:dyDescent="0.25">
      <c r="A51" t="s">
        <v>222</v>
      </c>
      <c r="B51" t="s">
        <v>18</v>
      </c>
      <c r="E51">
        <v>0.02</v>
      </c>
      <c r="K51" s="8">
        <f>E51*SUMIF(Species!A:A,Species_Stats!A51,Species!B:B)</f>
        <v>0.42</v>
      </c>
    </row>
    <row r="52" spans="1:11" x14ac:dyDescent="0.25">
      <c r="A52" t="s">
        <v>222</v>
      </c>
      <c r="B52" t="s">
        <v>7</v>
      </c>
      <c r="C52" t="s">
        <v>68</v>
      </c>
      <c r="G52">
        <v>0.1</v>
      </c>
      <c r="K52" s="8">
        <f>E52*SUMIF(Species!A:A,Species_Stats!A52,Species!B:B)</f>
        <v>0</v>
      </c>
    </row>
    <row r="53" spans="1:11" x14ac:dyDescent="0.25">
      <c r="A53" t="s">
        <v>222</v>
      </c>
      <c r="B53" t="s">
        <v>10</v>
      </c>
      <c r="E53">
        <v>0.6</v>
      </c>
      <c r="K53" s="8">
        <f>E53*SUMIF(Species!A:A,Species_Stats!A53,Species!B:B)</f>
        <v>12.6</v>
      </c>
    </row>
    <row r="54" spans="1:11" x14ac:dyDescent="0.25">
      <c r="A54" t="s">
        <v>222</v>
      </c>
      <c r="B54" t="s">
        <v>221</v>
      </c>
      <c r="E54">
        <v>0.45</v>
      </c>
      <c r="K54" s="8">
        <f>E54*SUMIF(Species!A:A,Species_Stats!A54,Species!B:B)</f>
        <v>9.4500000000000011</v>
      </c>
    </row>
    <row r="55" spans="1:11" x14ac:dyDescent="0.25">
      <c r="A55" t="s">
        <v>222</v>
      </c>
      <c r="B55" t="s">
        <v>223</v>
      </c>
      <c r="E55">
        <v>1.3</v>
      </c>
      <c r="K55" s="8">
        <f>E55*SUMIF(Species!A:A,Species_Stats!A55,Species!B:B)</f>
        <v>27.3</v>
      </c>
    </row>
    <row r="56" spans="1:11" x14ac:dyDescent="0.25">
      <c r="A56" t="s">
        <v>222</v>
      </c>
      <c r="B56" t="s">
        <v>232</v>
      </c>
      <c r="E56">
        <v>0.5</v>
      </c>
      <c r="K56" s="8">
        <f>E56*SUMIF(Species!A:A,Species_Stats!A56,Species!B:B)</f>
        <v>10.5</v>
      </c>
    </row>
    <row r="57" spans="1:11" x14ac:dyDescent="0.25">
      <c r="A57" t="s">
        <v>222</v>
      </c>
      <c r="B57" t="s">
        <v>233</v>
      </c>
      <c r="E57">
        <v>1.47</v>
      </c>
      <c r="K57" s="8">
        <f>E57*SUMIF(Species!A:A,Species_Stats!A57,Species!B:B)</f>
        <v>30.87</v>
      </c>
    </row>
    <row r="58" spans="1:11" x14ac:dyDescent="0.25">
      <c r="A58" t="s">
        <v>222</v>
      </c>
      <c r="B58" t="s">
        <v>247</v>
      </c>
      <c r="E58">
        <v>0.05</v>
      </c>
      <c r="K58" s="8">
        <f>E58*SUMIF(Species!A:A,Species_Stats!A58,Species!B:B)</f>
        <v>1.05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Species!$A:$A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6" t="s">
        <v>35</v>
      </c>
      <c r="D2" s="26"/>
      <c r="E2" s="26"/>
      <c r="F2" s="26"/>
      <c r="G2" s="26" t="s">
        <v>8</v>
      </c>
      <c r="H2" s="26"/>
      <c r="I2" s="26"/>
      <c r="J2" s="26" t="s">
        <v>44</v>
      </c>
      <c r="K2" s="26"/>
      <c r="L2" s="26"/>
      <c r="M2" s="26"/>
      <c r="N2" s="26"/>
      <c r="O2" s="26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</v>
      </c>
      <c r="E7">
        <f>(MIN(B3,30)*3.5)</f>
        <v>56</v>
      </c>
      <c r="F7" s="8">
        <f t="shared" ref="F7:F30" si="0">D7+E7</f>
        <v>56.5</v>
      </c>
    </row>
    <row r="8" spans="1:6" x14ac:dyDescent="0.25">
      <c r="A8" t="s">
        <v>16</v>
      </c>
      <c r="C8">
        <v>10</v>
      </c>
      <c r="D8" s="8">
        <f>$C8/LOOKUP($A8,'STAT COSTS'!$A:$A,'STAT COSTS'!$B:$B)</f>
        <v>0.5</v>
      </c>
      <c r="F8" s="8">
        <f t="shared" si="0"/>
        <v>0.5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2.5</v>
      </c>
      <c r="E9">
        <f>MIN(B3,30)*0.15</f>
        <v>2.4</v>
      </c>
      <c r="F9" s="8">
        <f t="shared" si="0"/>
        <v>4.9000000000000004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1</v>
      </c>
      <c r="F10" s="8">
        <f t="shared" si="0"/>
        <v>1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3.3333333333333335</v>
      </c>
      <c r="E19">
        <f>B3*1.75</f>
        <v>28</v>
      </c>
      <c r="F19" s="8">
        <f t="shared" si="0"/>
        <v>31.333333333333332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3.3333333333333335</v>
      </c>
      <c r="E20">
        <f>1</f>
        <v>1</v>
      </c>
      <c r="F20" s="8">
        <f t="shared" si="0"/>
        <v>4.3333333333333339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zoomScale="110" zoomScaleNormal="110" workbookViewId="0">
      <selection activeCell="R10" sqref="R10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1" width="10.85546875" customWidth="1"/>
    <col min="12" max="12" width="3.5703125" customWidth="1"/>
    <col min="13" max="13" width="9.140625" style="11"/>
    <col min="14" max="15" width="11.85546875" bestFit="1" customWidth="1"/>
    <col min="16" max="16" width="9.140625" style="8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P1"/>
      <c r="Q1"/>
      <c r="R1"/>
      <c r="X1"/>
    </row>
    <row r="2" spans="1:24" x14ac:dyDescent="0.25">
      <c r="M2"/>
      <c r="P2"/>
      <c r="Q2"/>
      <c r="R2"/>
      <c r="U2" s="9" t="s">
        <v>185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157</v>
      </c>
      <c r="V3" s="1" t="s">
        <v>167</v>
      </c>
      <c r="W3" s="1" t="s">
        <v>59</v>
      </c>
      <c r="X3" s="1" t="s">
        <v>186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189</v>
      </c>
      <c r="H4" s="7" t="s">
        <v>127</v>
      </c>
      <c r="I4" s="7" t="s">
        <v>54</v>
      </c>
      <c r="J4" s="2"/>
      <c r="K4" s="2"/>
      <c r="M4" s="11">
        <v>1</v>
      </c>
      <c r="N4" t="s">
        <v>206</v>
      </c>
      <c r="O4" t="s">
        <v>210</v>
      </c>
      <c r="P4" s="8">
        <v>0</v>
      </c>
      <c r="Q4" s="14">
        <v>0</v>
      </c>
      <c r="R4" s="14">
        <v>13</v>
      </c>
      <c r="T4" t="s">
        <v>210</v>
      </c>
      <c r="U4" t="s">
        <v>180</v>
      </c>
      <c r="V4" t="s">
        <v>169</v>
      </c>
      <c r="W4" t="s">
        <v>120</v>
      </c>
      <c r="X4" s="8">
        <v>0.5826403672572944</v>
      </c>
    </row>
    <row r="5" spans="1:24" x14ac:dyDescent="0.25">
      <c r="A5" s="15" t="str">
        <f>LOOKUP(MAX(M:M),M:M,N:N)</f>
        <v>0 Fang</v>
      </c>
      <c r="B5" s="10" t="s">
        <v>8</v>
      </c>
      <c r="C5" s="5" cm="1">
        <f t="array" aca="1" ref="C5" ca="1">INDIRECT("'"&amp;LOOKUP($A5,$A$18:$A$27,$B$18:$B$27)&amp;"'!B6")-SUMIFS(X:X,T:T,$A5,W:W,"Accuracy")</f>
        <v>12.3</v>
      </c>
      <c r="D5" s="6"/>
      <c r="E5" s="5">
        <v>19.5</v>
      </c>
      <c r="F5" s="19">
        <v>1</v>
      </c>
      <c r="G5" s="5" cm="1">
        <f t="array" aca="1" ref="G5" ca="1">F5*MAX(0,INDIRECT("'"&amp;LOOKUP($A5,$A$18:$A$27,$B$18:$B$27)&amp;"'!F23")-SUMIFS(X:X,T:T,$A5,W:W,"Willpower Factor"))</f>
        <v>3.2</v>
      </c>
      <c r="H5" s="5">
        <v>1</v>
      </c>
      <c r="I5" s="12">
        <f ca="1">SUM(C5:E5,G5)*H5</f>
        <v>35</v>
      </c>
      <c r="J5" s="3"/>
      <c r="K5" s="2"/>
      <c r="M5" s="11">
        <v>1.01</v>
      </c>
      <c r="N5" t="s">
        <v>206</v>
      </c>
      <c r="O5" t="s">
        <v>210</v>
      </c>
      <c r="P5" s="8">
        <v>23.411308160194984</v>
      </c>
      <c r="Q5" s="14">
        <v>1</v>
      </c>
      <c r="R5" s="14">
        <v>10</v>
      </c>
      <c r="T5" t="s">
        <v>210</v>
      </c>
      <c r="U5" t="s">
        <v>182</v>
      </c>
      <c r="V5" t="s">
        <v>169</v>
      </c>
      <c r="W5" t="s">
        <v>9</v>
      </c>
      <c r="X5" s="8">
        <v>49.933257304216042</v>
      </c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  <c r="M6" s="11">
        <v>2</v>
      </c>
      <c r="T6">
        <v>0</v>
      </c>
    </row>
    <row r="7" spans="1:24" x14ac:dyDescent="0.25">
      <c r="A7" s="15" t="str">
        <f>LOOKUP(MAX(M:M),M:M,O:O)</f>
        <v>4 Cat Soldier</v>
      </c>
      <c r="B7" s="10" t="s">
        <v>9</v>
      </c>
      <c r="C7" s="5" cm="1">
        <f t="array" aca="1" ref="C7" ca="1">INDIRECT("'"&amp;LOOKUP($A7,$A$18:$A$27,$B$18:$B$27)&amp;"'!F14")-SUMIFS(X:X,T:T,$A7,W:W,B7)</f>
        <v>0.4</v>
      </c>
      <c r="D7" s="6"/>
      <c r="E7" s="5">
        <v>11.274077475070953</v>
      </c>
      <c r="F7" s="19">
        <v>9</v>
      </c>
      <c r="G7" s="5" cm="1">
        <f t="array" aca="1" ref="G7" ca="1">F7*MAX(0,INDIRECT("'"&amp;LOOKUP($A7,$A$18:$A$27,$B$18:$B$27)&amp;"'!F23")-SUMIFS(X:X,T:T,$A7,W:W,"Willpower Factor"))</f>
        <v>48.449999999999996</v>
      </c>
      <c r="H7" s="5">
        <v>1</v>
      </c>
      <c r="I7" s="12">
        <f ca="1">SUM(C7:E7,G7)*H7</f>
        <v>60.124077475070948</v>
      </c>
      <c r="J7" s="3"/>
      <c r="K7" s="2"/>
      <c r="M7" s="11">
        <v>2.0099999999999998</v>
      </c>
      <c r="N7" t="s">
        <v>206</v>
      </c>
      <c r="O7" t="s">
        <v>210</v>
      </c>
      <c r="P7" s="8">
        <v>78.92307692307692</v>
      </c>
      <c r="Q7" s="14">
        <v>1</v>
      </c>
      <c r="R7" s="14">
        <v>5</v>
      </c>
      <c r="T7" t="s">
        <v>149</v>
      </c>
      <c r="U7" t="s">
        <v>163</v>
      </c>
      <c r="V7" t="s">
        <v>168</v>
      </c>
      <c r="W7" t="s">
        <v>20</v>
      </c>
      <c r="X7" s="8">
        <v>42.559046923625175</v>
      </c>
    </row>
    <row r="8" spans="1:24" x14ac:dyDescent="0.25">
      <c r="A8" s="2" t="str">
        <f>A5</f>
        <v>0 Fang</v>
      </c>
      <c r="B8" s="10" t="s">
        <v>50</v>
      </c>
      <c r="C8" s="5" cm="1">
        <f t="array" aca="1" ref="C8" ca="1">INDIRECT("'"&amp;LOOKUP($A8,$A$18:$A$27,$B$18:$B$27)&amp;"'!D6")-SUMIFS(X:X,T:T,$A8,W:W,B8)</f>
        <v>6</v>
      </c>
      <c r="D8" s="6"/>
      <c r="E8" s="5">
        <v>92.6</v>
      </c>
      <c r="F8" s="19"/>
      <c r="G8" s="5" cm="1">
        <f t="array" aca="1" ref="G8" ca="1">F8*MAX(0,INDIRECT("'"&amp;LOOKUP($A8,$A$18:$A$27,$B$18:$B$27)&amp;"'!F23")-SUMIFS(X:X,T:T,$A8,W:W,"Willpower Factor"))</f>
        <v>0</v>
      </c>
      <c r="H8" s="5" cm="1">
        <f t="array" aca="1" ref="H8" ca="1">IF(I5&gt;I7*2,MAX(1,INDIRECT("'"&amp;LOOKUP($A8,$A$18:$A$27,$B$18:$B$27)&amp;"'!F6")-SUMIFS(X:X,T:T,$A8,W:W,"Crit Factor")),1)</f>
        <v>1</v>
      </c>
      <c r="I8" s="12">
        <f ca="1">IF(I5&gt;I7,SUM(C8:E8,G8)*H8,0)</f>
        <v>0</v>
      </c>
      <c r="J8" s="3"/>
      <c r="K8" s="2"/>
      <c r="M8" s="11">
        <v>2.11</v>
      </c>
      <c r="N8" t="s">
        <v>149</v>
      </c>
      <c r="O8" t="s">
        <v>206</v>
      </c>
      <c r="P8" s="8">
        <v>0</v>
      </c>
      <c r="Q8" s="14">
        <v>13</v>
      </c>
      <c r="R8" s="14">
        <v>1</v>
      </c>
      <c r="T8" t="s">
        <v>149</v>
      </c>
      <c r="U8" t="s">
        <v>179</v>
      </c>
      <c r="V8" t="s">
        <v>169</v>
      </c>
      <c r="W8" t="s">
        <v>20</v>
      </c>
      <c r="X8" s="8">
        <v>29.41410884899971</v>
      </c>
    </row>
    <row r="9" spans="1:24" x14ac:dyDescent="0.25">
      <c r="A9" s="2" t="str">
        <f>A7</f>
        <v>4 Cat Soldier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0.76923076923076927</v>
      </c>
      <c r="I9" s="13">
        <f ca="1">IF(I5&gt;I7,I8*(H9),0)</f>
        <v>0</v>
      </c>
      <c r="J9" s="3" t="str">
        <f ca="1">IF(NOT(ISBLANK(E5)),IF(I5&gt;I7*2, "CRIT!",IF(I5&gt;I7,"HIT","miss")),"")</f>
        <v>miss</v>
      </c>
      <c r="K9" s="2"/>
      <c r="M9" s="11">
        <v>3</v>
      </c>
      <c r="N9" t="s">
        <v>206</v>
      </c>
      <c r="O9" t="s">
        <v>149</v>
      </c>
      <c r="P9" s="8">
        <v>66.538461538461547</v>
      </c>
      <c r="Q9" s="14">
        <v>1</v>
      </c>
      <c r="R9" s="14">
        <v>3</v>
      </c>
      <c r="T9" t="s">
        <v>150</v>
      </c>
      <c r="U9" t="s">
        <v>165</v>
      </c>
      <c r="V9" t="s">
        <v>165</v>
      </c>
      <c r="W9" t="s">
        <v>7</v>
      </c>
      <c r="X9" s="8">
        <v>160.38996871981868</v>
      </c>
    </row>
    <row r="10" spans="1:24" x14ac:dyDescent="0.25">
      <c r="A10" s="2" t="str">
        <f>A7</f>
        <v>4 Cat Soldier</v>
      </c>
      <c r="B10" s="10" t="s">
        <v>13</v>
      </c>
      <c r="C10" s="5" cm="1">
        <f t="array" aca="1" ref="C10" ca="1">MAX(0,INDIRECT("'"&amp;LOOKUP($A10,$A$18:$A$27,$B$18:$B$27)&amp;"'!F16")-SUMIFS(X:X,T:T,$A10,W:W,B10))</f>
        <v>13.646666666666665</v>
      </c>
      <c r="D10" s="6"/>
      <c r="E10" s="5">
        <v>7.6947277784347543</v>
      </c>
      <c r="F10" s="19"/>
      <c r="G10" s="5" cm="1">
        <f t="array" aca="1" ref="G10" ca="1">F10*MAX(0,INDIRECT("'"&amp;LOOKUP($A10,$A$18:$A$27,$B$18:$B$27)&amp;"'!F23")-SUMIFS(X:X,T:T,$A10,W:W,"Willpower Factor"))</f>
        <v>0</v>
      </c>
      <c r="H10" s="5">
        <v>1</v>
      </c>
      <c r="I10" s="12">
        <f ca="1">SUM(C10:E10,G10)*H10</f>
        <v>21.341394445101418</v>
      </c>
      <c r="J10" s="3" t="str">
        <f ca="1">IF(NOT(ISBLANK(E5)),IF(IF(I5&gt;I7*2,I9*2,I9)&gt;I10,"WOUNDED",""),"")</f>
        <v/>
      </c>
      <c r="K10" s="2"/>
      <c r="M10" s="11">
        <v>3.01</v>
      </c>
      <c r="N10" t="s">
        <v>206</v>
      </c>
      <c r="O10" t="s">
        <v>149</v>
      </c>
      <c r="P10" s="8">
        <v>0</v>
      </c>
      <c r="Q10" s="14">
        <v>0</v>
      </c>
      <c r="R10" s="14">
        <v>0</v>
      </c>
      <c r="T10" t="s">
        <v>151</v>
      </c>
      <c r="U10" t="s">
        <v>163</v>
      </c>
      <c r="V10" t="s">
        <v>168</v>
      </c>
      <c r="W10" t="s">
        <v>20</v>
      </c>
      <c r="X10" s="8">
        <v>23.202534801195831</v>
      </c>
    </row>
    <row r="11" spans="1:24" x14ac:dyDescent="0.25">
      <c r="A11" s="2" t="str">
        <f>A7</f>
        <v>4 Cat Soldier</v>
      </c>
      <c r="B11" s="10" t="s">
        <v>11</v>
      </c>
      <c r="C11" s="5" cm="1">
        <f t="array" aca="1" ref="C11" ca="1">MAX(0,INDIRECT("'"&amp;LOOKUP($A11,$A$18:$A$27,$B$18:$B$27)&amp;"'!F18")-SUMIFS(X:X,T:T,$A11,W:W,B11))</f>
        <v>6.334545454545454</v>
      </c>
      <c r="D11" s="6"/>
      <c r="E11" s="5">
        <v>2.3774384438991549</v>
      </c>
      <c r="F11" s="19"/>
      <c r="G11" s="5" cm="1">
        <f t="array" aca="1" ref="G11" ca="1">F11*MAX(0,INDIRECT("'"&amp;LOOKUP($A11,$A$18:$A$27,$B$18:$B$27)&amp;"'!F23")-SUMIFS(X:X,T:T,$A11,W:W,"Willpower Factor"))</f>
        <v>0</v>
      </c>
      <c r="H11" s="5">
        <v>1</v>
      </c>
      <c r="I11" s="12">
        <f ca="1">SUM(C11:E11,G11)*H11</f>
        <v>8.7119838984446094</v>
      </c>
      <c r="J11" s="3" t="str">
        <f ca="1">IF(NOT(ISBLANK(E5)),IF(IF(I5&gt;I7*2,I9*2,I9)&gt;I11,"WINCED",""),"")</f>
        <v/>
      </c>
      <c r="K11" s="2"/>
      <c r="M11" s="11">
        <v>3.02</v>
      </c>
      <c r="N11" t="s">
        <v>150</v>
      </c>
      <c r="O11" t="s">
        <v>206</v>
      </c>
      <c r="P11" s="8">
        <v>0</v>
      </c>
      <c r="Q11" s="14">
        <v>27</v>
      </c>
      <c r="R11" s="14">
        <v>2</v>
      </c>
      <c r="T11" t="s">
        <v>152</v>
      </c>
      <c r="U11" t="s">
        <v>166</v>
      </c>
      <c r="V11" t="s">
        <v>169</v>
      </c>
      <c r="W11" t="s">
        <v>9</v>
      </c>
      <c r="X11" s="8">
        <v>56.507061921602642</v>
      </c>
    </row>
    <row r="12" spans="1:24" x14ac:dyDescent="0.25">
      <c r="A12" s="2" t="str">
        <f>A7</f>
        <v>4 Cat Soldier</v>
      </c>
      <c r="B12" s="10" t="s">
        <v>19</v>
      </c>
      <c r="C12" s="5" cm="1">
        <f t="array" aca="1" ref="C12" ca="1">MAX(0,INDIRECT("'"&amp;LOOKUP($A12,$A$18:$A$27,$B$18:$B$27)&amp;"'!F20")-SUMIFS(X:X,T:T,$A12,W:W,B12))</f>
        <v>67.150000000000006</v>
      </c>
      <c r="D12" s="6"/>
      <c r="E12" s="5">
        <v>2.1613362431526184</v>
      </c>
      <c r="F12" s="19"/>
      <c r="G12" s="5" cm="1">
        <f t="array" aca="1" ref="G12" ca="1">F12*MAX(0,INDIRECT("'"&amp;LOOKUP($A12,$A$18:$A$27,$B$18:$B$27)&amp;"'!F23")-SUMIFS(X:X,T:T,$A12,W:W,"Willpower Factor"))</f>
        <v>0</v>
      </c>
      <c r="H12" s="5">
        <v>1</v>
      </c>
      <c r="I12" s="12">
        <f ca="1">SUM(C12:E12,G12)*H12</f>
        <v>69.311336243152624</v>
      </c>
      <c r="J12" s="3" t="str">
        <f ca="1">IF(I9&gt;0,IF(SUMIF(A18:A27,A12,F18:F27)-SUMIF(A18:A27,A12,E18:E27)&gt;I12,"UNCONSCIOUS",""),"")</f>
        <v/>
      </c>
      <c r="K12" s="2"/>
      <c r="M12" s="11">
        <v>4</v>
      </c>
      <c r="N12" t="s">
        <v>206</v>
      </c>
      <c r="O12" t="s">
        <v>149</v>
      </c>
      <c r="P12" s="8">
        <v>49.153846153846153</v>
      </c>
      <c r="Q12" s="14">
        <v>1</v>
      </c>
      <c r="R12" s="14">
        <v>13</v>
      </c>
      <c r="T12" t="s">
        <v>151</v>
      </c>
      <c r="U12" t="s">
        <v>164</v>
      </c>
      <c r="V12" t="s">
        <v>168</v>
      </c>
      <c r="W12" t="s">
        <v>120</v>
      </c>
      <c r="X12" s="8">
        <v>15.875283613082694</v>
      </c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M13" s="11">
        <v>4.01</v>
      </c>
      <c r="N13" t="s">
        <v>206</v>
      </c>
      <c r="O13" t="s">
        <v>150</v>
      </c>
      <c r="P13" s="8">
        <v>176.59567759587216</v>
      </c>
      <c r="Q13" s="14">
        <v>0</v>
      </c>
      <c r="R13" s="14">
        <v>0</v>
      </c>
      <c r="T13" t="s">
        <v>153</v>
      </c>
      <c r="U13" t="s">
        <v>166</v>
      </c>
      <c r="V13" t="s">
        <v>174</v>
      </c>
      <c r="W13" t="s">
        <v>11</v>
      </c>
      <c r="X13" s="8">
        <v>58.896228620608653</v>
      </c>
    </row>
    <row r="14" spans="1:24" x14ac:dyDescent="0.25">
      <c r="M14" s="11">
        <v>4.1099999999999994</v>
      </c>
      <c r="N14" t="s">
        <v>151</v>
      </c>
      <c r="O14" t="s">
        <v>206</v>
      </c>
      <c r="P14" s="8">
        <v>0</v>
      </c>
      <c r="Q14" s="14">
        <v>21</v>
      </c>
      <c r="R14" s="14">
        <v>1</v>
      </c>
      <c r="T14" t="s">
        <v>154</v>
      </c>
      <c r="U14" t="s">
        <v>164</v>
      </c>
      <c r="V14" t="s">
        <v>168</v>
      </c>
      <c r="W14" t="s">
        <v>120</v>
      </c>
      <c r="X14" s="8">
        <v>60.770281337744166</v>
      </c>
    </row>
    <row r="15" spans="1:24" x14ac:dyDescent="0.25">
      <c r="A15" t="s">
        <v>45</v>
      </c>
      <c r="B15" t="s">
        <v>5</v>
      </c>
      <c r="C15" s="2" t="s">
        <v>6</v>
      </c>
      <c r="D15" s="2" t="s">
        <v>195</v>
      </c>
      <c r="E15" s="5">
        <v>23.734229871419945</v>
      </c>
      <c r="G15" s="26" t="s">
        <v>209</v>
      </c>
      <c r="H15" s="26"/>
      <c r="I15" s="26"/>
      <c r="K15" s="8">
        <v>6.7</v>
      </c>
      <c r="M15" s="11">
        <v>5</v>
      </c>
      <c r="N15" t="s">
        <v>206</v>
      </c>
      <c r="O15" t="s">
        <v>151</v>
      </c>
      <c r="P15" s="8">
        <v>44.153846153846153</v>
      </c>
      <c r="Q15" s="14">
        <v>1</v>
      </c>
      <c r="R15" s="14">
        <v>6</v>
      </c>
      <c r="T15" t="s">
        <v>154</v>
      </c>
      <c r="U15" t="s">
        <v>160</v>
      </c>
      <c r="V15" t="s">
        <v>165</v>
      </c>
      <c r="W15" t="s">
        <v>5</v>
      </c>
      <c r="X15" s="8">
        <v>5.9372361022386819</v>
      </c>
    </row>
    <row r="16" spans="1:24" x14ac:dyDescent="0.25">
      <c r="M16" s="11">
        <v>5.01</v>
      </c>
      <c r="N16" t="s">
        <v>206</v>
      </c>
      <c r="O16" t="s">
        <v>152</v>
      </c>
      <c r="P16" s="8">
        <v>81.230769230769226</v>
      </c>
      <c r="Q16" s="14">
        <v>1</v>
      </c>
      <c r="R16" s="14">
        <v>13</v>
      </c>
      <c r="T16" t="s">
        <v>156</v>
      </c>
      <c r="U16" t="s">
        <v>172</v>
      </c>
      <c r="V16" t="s">
        <v>174</v>
      </c>
      <c r="W16" t="s">
        <v>22</v>
      </c>
      <c r="X16" s="8">
        <v>49.483775666096278</v>
      </c>
    </row>
    <row r="17" spans="1:24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  <c r="M17" s="11">
        <v>6</v>
      </c>
      <c r="N17" t="s">
        <v>206</v>
      </c>
      <c r="O17" t="s">
        <v>151</v>
      </c>
      <c r="P17" s="8">
        <v>36.384615384615387</v>
      </c>
      <c r="Q17" s="14">
        <v>1</v>
      </c>
      <c r="R17" s="14">
        <v>8</v>
      </c>
      <c r="T17" t="s">
        <v>155</v>
      </c>
      <c r="U17" t="s">
        <v>173</v>
      </c>
      <c r="V17" t="s">
        <v>169</v>
      </c>
      <c r="W17" t="s">
        <v>2</v>
      </c>
      <c r="X17" s="8">
        <v>36.04167795499167</v>
      </c>
    </row>
    <row r="18" spans="1:24" x14ac:dyDescent="0.25">
      <c r="A18" t="s">
        <v>206</v>
      </c>
      <c r="B18" t="s">
        <v>207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25</v>
      </c>
      <c r="E18" s="8">
        <f ca="1">F18-SUMIF(O:O,A18,P:P)</f>
        <v>375</v>
      </c>
      <c r="F18" s="8" cm="1">
        <f t="array" aca="1" ref="F18" ca="1">INDIRECT("'"&amp;$B18&amp;"'!F9")</f>
        <v>375</v>
      </c>
      <c r="G18" s="8">
        <f ca="1">H18-SUMIF(N:N,A18,Q:Q)-SUMIF(O:O,A18,R:R)</f>
        <v>9.3000000000000007</v>
      </c>
      <c r="H18" s="8" cm="1">
        <f t="array" aca="1" ref="H18" ca="1">INDIRECT("'"&amp;$B18&amp;"'!F22")</f>
        <v>31.3</v>
      </c>
      <c r="I18" s="8"/>
      <c r="J18">
        <v>0</v>
      </c>
      <c r="M18" s="11">
        <v>6.01</v>
      </c>
      <c r="N18" t="s">
        <v>206</v>
      </c>
      <c r="O18" t="s">
        <v>153</v>
      </c>
      <c r="P18" s="8">
        <v>79</v>
      </c>
      <c r="Q18" s="14">
        <v>1</v>
      </c>
      <c r="R18" s="14">
        <v>44</v>
      </c>
      <c r="T18" t="s">
        <v>155</v>
      </c>
      <c r="U18" t="s">
        <v>179</v>
      </c>
      <c r="V18" t="s">
        <v>169</v>
      </c>
      <c r="W18" t="s">
        <v>20</v>
      </c>
      <c r="X18" s="8">
        <v>22.454822498529388</v>
      </c>
    </row>
    <row r="19" spans="1:24" x14ac:dyDescent="0.25">
      <c r="A19" t="s">
        <v>210</v>
      </c>
      <c r="B19" t="s">
        <v>51</v>
      </c>
      <c r="C19" s="8" t="str" cm="1">
        <f t="array" aca="1" ref="C19" ca="1">INDIRECT("'"&amp;$B19&amp;"'!D3")</f>
        <v>Cat</v>
      </c>
      <c r="D19" s="8" cm="1">
        <f t="array" aca="1" ref="D19" ca="1">INDIRECT("'"&amp;$B19&amp;"'!B3")</f>
        <v>21</v>
      </c>
      <c r="E19" s="8">
        <f ca="1">F19-SUMIF(O:O,A19,P:P)</f>
        <v>44.665614916728089</v>
      </c>
      <c r="F19" s="8" cm="1">
        <f t="array" aca="1" ref="F19" ca="1">INDIRECT("'"&amp;$B19&amp;"'!F9")</f>
        <v>147</v>
      </c>
      <c r="G19" s="8">
        <f ca="1">H19-SUMIF(N:N,A19,Q:Q)-SUMIF(O:O,A19,R:R)</f>
        <v>57.833333333333343</v>
      </c>
      <c r="H19" s="8" cm="1">
        <f t="array" aca="1" ref="H19" ca="1">INDIRECT("'"&amp;$B19&amp;"'!F22")</f>
        <v>85.833333333333343</v>
      </c>
      <c r="I19" s="8" t="s">
        <v>136</v>
      </c>
      <c r="J19" s="8">
        <v>0</v>
      </c>
      <c r="K19" s="8"/>
      <c r="L19" s="8"/>
      <c r="M19" s="11">
        <v>7</v>
      </c>
      <c r="N19" t="s">
        <v>206</v>
      </c>
      <c r="O19" t="s">
        <v>154</v>
      </c>
      <c r="P19" s="8">
        <v>82.230769230769241</v>
      </c>
      <c r="Q19" s="14">
        <v>1</v>
      </c>
      <c r="R19" s="14">
        <v>55</v>
      </c>
      <c r="T19" t="s">
        <v>151</v>
      </c>
      <c r="U19" t="s">
        <v>164</v>
      </c>
      <c r="V19" t="s">
        <v>168</v>
      </c>
      <c r="W19" t="s">
        <v>120</v>
      </c>
      <c r="X19" s="8">
        <v>54.504759401052425</v>
      </c>
    </row>
    <row r="20" spans="1:24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ca="1">F20-SUMIF(O:O,A20,P:P)</f>
        <v>31.307692307692292</v>
      </c>
      <c r="F20" s="8" cm="1">
        <f t="array" aca="1" ref="F20" ca="1">INDIRECT("'"&amp;$B20&amp;"'!F9")</f>
        <v>147</v>
      </c>
      <c r="G20" s="8">
        <f ca="1">H20-SUMIF(N:N,A20,Q:Q)-SUMIF(O:O,A20,R:R)</f>
        <v>56.833333333333343</v>
      </c>
      <c r="H20" s="8" cm="1">
        <f t="array" aca="1" ref="H20" ca="1">INDIRECT("'"&amp;$B20&amp;"'!F22")</f>
        <v>85.833333333333343</v>
      </c>
      <c r="I20" s="8" t="s">
        <v>136</v>
      </c>
      <c r="J20" s="8">
        <v>0</v>
      </c>
      <c r="K20" s="8"/>
      <c r="L20" s="8"/>
      <c r="M20" s="11">
        <v>7.01</v>
      </c>
      <c r="N20" t="s">
        <v>206</v>
      </c>
      <c r="O20" t="s">
        <v>154</v>
      </c>
      <c r="P20" s="8">
        <v>22.076923076923077</v>
      </c>
      <c r="Q20" s="14">
        <v>0</v>
      </c>
      <c r="R20" s="14">
        <v>0</v>
      </c>
    </row>
    <row r="21" spans="1:24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ca="1">F21-SUMIF(O:O,A21,P:P)</f>
        <v>-29.595677595872161</v>
      </c>
      <c r="F21" s="8" cm="1">
        <f t="array" aca="1" ref="F21" ca="1">INDIRECT("'"&amp;$B21&amp;"'!F9")</f>
        <v>147</v>
      </c>
      <c r="G21" s="8">
        <f ca="1">H21-SUMIF(N:N,A21,Q:Q)-SUMIF(O:O,A21,R:R)</f>
        <v>58.833333333333343</v>
      </c>
      <c r="H21" s="8" cm="1">
        <f t="array" aca="1" ref="H21" ca="1">INDIRECT("'"&amp;$B21&amp;"'!F22")</f>
        <v>85.833333333333343</v>
      </c>
      <c r="I21" s="8" t="s">
        <v>136</v>
      </c>
      <c r="J21" s="8">
        <v>0</v>
      </c>
      <c r="K21" s="8"/>
      <c r="L21" s="8"/>
      <c r="M21" s="11">
        <v>7.1099999999999994</v>
      </c>
      <c r="N21" t="s">
        <v>151</v>
      </c>
      <c r="O21" t="s">
        <v>206</v>
      </c>
      <c r="P21" s="8">
        <v>0</v>
      </c>
      <c r="Q21" s="14">
        <v>23</v>
      </c>
      <c r="R21" s="14">
        <v>2</v>
      </c>
    </row>
    <row r="22" spans="1:24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ca="1">F22-SUMIF(O:O,A22,P:P)</f>
        <v>-9.3846153846153868</v>
      </c>
      <c r="F22" s="8" cm="1">
        <f t="array" aca="1" ref="F22" ca="1">INDIRECT("'"&amp;$B22&amp;"'!F9")</f>
        <v>147</v>
      </c>
      <c r="G22" s="8">
        <f ca="1">H22-SUMIF(N:N,A22,Q:Q)-SUMIF(O:O,A22,R:R)</f>
        <v>-18.166666666666657</v>
      </c>
      <c r="H22" s="8" cm="1">
        <f t="array" aca="1" ref="H22" ca="1">INDIRECT("'"&amp;$B22&amp;"'!F22")</f>
        <v>85.833333333333343</v>
      </c>
      <c r="I22" s="8" t="s">
        <v>136</v>
      </c>
      <c r="J22" s="8">
        <v>0</v>
      </c>
      <c r="K22" s="8"/>
      <c r="L22" s="8"/>
      <c r="M22" s="11">
        <v>8</v>
      </c>
      <c r="N22" t="s">
        <v>206</v>
      </c>
      <c r="O22" t="s">
        <v>156</v>
      </c>
      <c r="P22" s="8">
        <v>24.53846153846154</v>
      </c>
      <c r="Q22" s="14">
        <v>1</v>
      </c>
      <c r="R22" s="14">
        <v>16</v>
      </c>
    </row>
    <row r="23" spans="1:24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ca="1">F23-SUMIF(O:O,A23,P:P)</f>
        <v>65.769230769230774</v>
      </c>
      <c r="F23" s="8" cm="1">
        <f t="array" aca="1" ref="F23" ca="1">INDIRECT("'"&amp;$B23&amp;"'!F9")</f>
        <v>147</v>
      </c>
      <c r="G23" s="8">
        <f ca="1">H23-SUMIF(N:N,A23,Q:Q)-SUMIF(O:O,A23,R:R)</f>
        <v>72.833333333333343</v>
      </c>
      <c r="H23" s="8" cm="1">
        <f t="array" aca="1" ref="H23" ca="1">INDIRECT("'"&amp;$B23&amp;"'!F22")</f>
        <v>85.833333333333343</v>
      </c>
      <c r="I23" s="8" t="s">
        <v>136</v>
      </c>
      <c r="J23" s="8">
        <v>0</v>
      </c>
      <c r="K23" s="8"/>
      <c r="L23" s="8"/>
      <c r="M23" s="11">
        <v>8.01</v>
      </c>
      <c r="N23" t="s">
        <v>206</v>
      </c>
      <c r="O23" t="s">
        <v>156</v>
      </c>
      <c r="P23" s="8">
        <v>71.692307692307693</v>
      </c>
      <c r="Q23" s="14">
        <v>1</v>
      </c>
      <c r="R23" s="14">
        <v>34</v>
      </c>
    </row>
    <row r="24" spans="1:24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ca="1">F24-SUMIF(O:O,A24,P:P)</f>
        <v>68</v>
      </c>
      <c r="F24" s="8" cm="1">
        <f t="array" aca="1" ref="F24" ca="1">INDIRECT("'"&amp;$B24&amp;"'!F9")</f>
        <v>147</v>
      </c>
      <c r="G24" s="8">
        <f ca="1">H24-SUMIF(N:N,A24,Q:Q)-SUMIF(O:O,A24,R:R)</f>
        <v>41.833333333333343</v>
      </c>
      <c r="H24" s="8" cm="1">
        <f t="array" aca="1" ref="H24" ca="1">INDIRECT("'"&amp;$B24&amp;"'!F22")</f>
        <v>85.833333333333343</v>
      </c>
      <c r="I24" s="8" t="s">
        <v>136</v>
      </c>
      <c r="J24" s="8">
        <v>0</v>
      </c>
      <c r="K24" s="8"/>
      <c r="L24" s="8"/>
      <c r="M24" s="11">
        <v>8.11</v>
      </c>
      <c r="N24" t="s">
        <v>151</v>
      </c>
      <c r="O24" t="s">
        <v>206</v>
      </c>
      <c r="P24" s="8">
        <v>0</v>
      </c>
      <c r="Q24" s="14">
        <v>0</v>
      </c>
      <c r="R24" s="14">
        <v>0</v>
      </c>
    </row>
    <row r="25" spans="1:24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ca="1">F25-SUMIF(O:O,A25,P:P)</f>
        <v>42.692307692307679</v>
      </c>
      <c r="F25" s="8" cm="1">
        <f t="array" aca="1" ref="F25" ca="1">INDIRECT("'"&amp;$B25&amp;"'!F9")</f>
        <v>147</v>
      </c>
      <c r="G25" s="8">
        <f ca="1">H25-SUMIF(N:N,A25,Q:Q)-SUMIF(O:O,A25,R:R)</f>
        <v>30.833333333333343</v>
      </c>
      <c r="H25" s="8" cm="1">
        <f t="array" aca="1" ref="H25" ca="1">INDIRECT("'"&amp;$B25&amp;"'!F22")</f>
        <v>85.833333333333343</v>
      </c>
      <c r="I25" s="8" t="s">
        <v>136</v>
      </c>
      <c r="J25" s="8">
        <v>0</v>
      </c>
      <c r="K25" s="8"/>
      <c r="L25" s="8"/>
      <c r="M25" s="11">
        <v>8.2099999999999991</v>
      </c>
      <c r="N25" t="s">
        <v>155</v>
      </c>
      <c r="O25" t="s">
        <v>206</v>
      </c>
      <c r="P25" s="8">
        <v>0</v>
      </c>
      <c r="Q25" s="14">
        <v>26</v>
      </c>
      <c r="R25" s="14">
        <v>1</v>
      </c>
    </row>
    <row r="26" spans="1:24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ca="1">F26-SUMIF(O:O,A26,P:P)</f>
        <v>47.153846153846146</v>
      </c>
      <c r="F26" s="8" cm="1">
        <f t="array" aca="1" ref="F26" ca="1">INDIRECT("'"&amp;$B26&amp;"'!F9")</f>
        <v>147</v>
      </c>
      <c r="G26" s="8">
        <f ca="1">H26-SUMIF(N:N,A26,Q:Q)-SUMIF(O:O,A26,R:R)</f>
        <v>27.833333333333343</v>
      </c>
      <c r="H26" s="8" cm="1">
        <f t="array" aca="1" ref="H26" ca="1">INDIRECT("'"&amp;$B26&amp;"'!F22")</f>
        <v>85.833333333333343</v>
      </c>
      <c r="I26" s="8" t="s">
        <v>136</v>
      </c>
      <c r="J26" s="8">
        <v>0</v>
      </c>
      <c r="K26" s="8"/>
      <c r="L26" s="8"/>
      <c r="M26" s="11">
        <v>9</v>
      </c>
      <c r="N26" t="s">
        <v>206</v>
      </c>
      <c r="O26" t="s">
        <v>155</v>
      </c>
      <c r="P26" s="8">
        <v>53.000000000000007</v>
      </c>
      <c r="Q26" s="14">
        <v>1</v>
      </c>
      <c r="R26" s="14">
        <v>30</v>
      </c>
    </row>
    <row r="27" spans="1:24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ca="1">F27-SUMIF(O:O,A27,P:P)</f>
        <v>50.769230769230774</v>
      </c>
      <c r="F27" s="8" cm="1">
        <f t="array" aca="1" ref="F27" ca="1">INDIRECT("'"&amp;$B27&amp;"'!F9")</f>
        <v>147</v>
      </c>
      <c r="G27" s="8">
        <f ca="1">H27-SUMIF(N:N,A27,Q:Q)-SUMIF(O:O,A27,R:R)</f>
        <v>35.833333333333343</v>
      </c>
      <c r="H27" s="8" cm="1">
        <f t="array" aca="1" ref="H27" ca="1">INDIRECT("'"&amp;$B27&amp;"'!F22")</f>
        <v>85.833333333333343</v>
      </c>
      <c r="I27" s="8" t="s">
        <v>136</v>
      </c>
      <c r="J27" s="8">
        <v>0</v>
      </c>
      <c r="K27" s="8"/>
      <c r="L27" s="8"/>
      <c r="M27" s="11">
        <v>9.01</v>
      </c>
      <c r="N27" t="s">
        <v>206</v>
      </c>
      <c r="O27" t="s">
        <v>155</v>
      </c>
      <c r="P27" s="8">
        <v>46.846153846153847</v>
      </c>
      <c r="Q27" s="14">
        <v>1</v>
      </c>
      <c r="R27" s="14">
        <v>2</v>
      </c>
    </row>
    <row r="28" spans="1:24" x14ac:dyDescent="0.25">
      <c r="J28" s="8">
        <f t="shared" ref="J28" si="0">(MAX(0,100-(MAX(M:M)-0-7)*1.9))</f>
        <v>94.3</v>
      </c>
      <c r="M28" s="11">
        <v>9.11</v>
      </c>
      <c r="N28" t="s">
        <v>151</v>
      </c>
      <c r="O28" t="s">
        <v>206</v>
      </c>
      <c r="P28" s="8">
        <v>0</v>
      </c>
      <c r="Q28" s="14">
        <v>37</v>
      </c>
      <c r="R28" s="14">
        <v>1</v>
      </c>
    </row>
    <row r="29" spans="1:24" x14ac:dyDescent="0.25">
      <c r="M29" s="11">
        <v>10</v>
      </c>
      <c r="N29" t="s">
        <v>206</v>
      </c>
      <c r="O29" t="s">
        <v>151</v>
      </c>
      <c r="P29" s="8">
        <v>75.84615384615384</v>
      </c>
      <c r="Q29" s="14">
        <v>1</v>
      </c>
      <c r="R29" s="14">
        <v>9</v>
      </c>
    </row>
    <row r="30" spans="1:24" x14ac:dyDescent="0.25">
      <c r="A30" s="9" t="s">
        <v>209</v>
      </c>
      <c r="B30" t="s">
        <v>150</v>
      </c>
      <c r="C30" t="s">
        <v>151</v>
      </c>
      <c r="D30" t="s">
        <v>155</v>
      </c>
    </row>
    <row r="31" spans="1:24" x14ac:dyDescent="0.25">
      <c r="A31" t="s">
        <v>206</v>
      </c>
      <c r="B31">
        <v>6.7</v>
      </c>
      <c r="C31">
        <f>6.7*4</f>
        <v>26.8</v>
      </c>
      <c r="D31">
        <v>6.7</v>
      </c>
    </row>
    <row r="53" spans="13:18" x14ac:dyDescent="0.25">
      <c r="N53" s="11"/>
      <c r="O53" s="11"/>
      <c r="P53" s="11"/>
      <c r="Q53" s="11"/>
      <c r="R53" s="11"/>
    </row>
    <row r="60" spans="13:18" x14ac:dyDescent="0.25">
      <c r="M60" s="21"/>
      <c r="N60" s="22"/>
      <c r="O60" s="22"/>
      <c r="P60" s="23"/>
      <c r="Q60" s="24"/>
      <c r="R60" s="25"/>
    </row>
    <row r="67" spans="17:18" x14ac:dyDescent="0.25">
      <c r="Q67"/>
      <c r="R67"/>
    </row>
    <row r="83" spans="2:10" x14ac:dyDescent="0.25">
      <c r="I83" t="s">
        <v>204</v>
      </c>
    </row>
    <row r="84" spans="2:10" x14ac:dyDescent="0.25">
      <c r="B84" t="s">
        <v>196</v>
      </c>
      <c r="C84" t="s">
        <v>197</v>
      </c>
      <c r="D84" t="s">
        <v>198</v>
      </c>
      <c r="E84" t="s">
        <v>199</v>
      </c>
      <c r="F84" t="s">
        <v>200</v>
      </c>
      <c r="G84" t="s">
        <v>201</v>
      </c>
      <c r="H84" t="s">
        <v>202</v>
      </c>
      <c r="I84" t="s">
        <v>203</v>
      </c>
    </row>
    <row r="85" spans="2:10" x14ac:dyDescent="0.25">
      <c r="B85" s="8">
        <f ca="1">C5</f>
        <v>12.3</v>
      </c>
      <c r="C85" s="8">
        <f>E5</f>
        <v>19.5</v>
      </c>
      <c r="D85" s="8">
        <f ca="1">C7</f>
        <v>0.4</v>
      </c>
      <c r="E85" s="8">
        <f>E7</f>
        <v>11.274077475070953</v>
      </c>
      <c r="F85" s="8">
        <f ca="1">MIN(0,B85+C85-D85-E85)</f>
        <v>0</v>
      </c>
      <c r="G85" s="8">
        <f>MAX(C85-E85,1)</f>
        <v>8.2259225249290466</v>
      </c>
      <c r="H85" s="8">
        <f ca="1">MIN(D85,B85-E85+C85)</f>
        <v>0.4</v>
      </c>
      <c r="J85" t="e">
        <f ca="1">(1/B85+1)*(F85+_xleta.SUM)</f>
        <v>#VALUE!</v>
      </c>
    </row>
    <row r="109" spans="17:18" x14ac:dyDescent="0.25">
      <c r="Q109"/>
      <c r="R109"/>
    </row>
  </sheetData>
  <mergeCells count="1">
    <mergeCell ref="G15:I15"/>
  </mergeCells>
  <phoneticPr fontId="2" type="noConversion"/>
  <conditionalFormatting sqref="G18:H27">
    <cfRule type="colorScale" priority="3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2">
      <colorScale>
        <cfvo type="min"/>
        <cfvo type="max"/>
        <color theme="0"/>
        <color theme="5" tint="0.59999389629810485"/>
      </colorScale>
    </cfRule>
  </conditionalFormatting>
  <conditionalFormatting sqref="P1:R52 P54:R1048576">
    <cfRule type="cellIs" dxfId="6" priority="1" operator="equal">
      <formula>0</formula>
    </cfRule>
  </conditionalFormatting>
  <dataValidations count="2">
    <dataValidation type="list" allowBlank="1" showInputMessage="1" showErrorMessage="1" sqref="T7:T1048576 T4:T5 N4:O125" xr:uid="{0126374D-DE0E-4077-BD4A-F73046C559D1}">
      <formula1>$A$18:$A$27</formula1>
    </dataValidation>
    <dataValidation type="list" allowBlank="1" showInputMessage="1" showErrorMessage="1" sqref="A15" xr:uid="{4A9562F1-FE22-4CA4-BE0E-54280EAD7762}">
      <formula1>$B$18:$B$27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3</xdr:row>
                    <xdr:rowOff>180975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6" name="Button 54">
              <controlPr defaultSize="0" print="0" autoFill="0" autoPict="0" macro="[0]!RecordRolls">
                <anchor moveWithCells="1">
                  <from>
                    <xdr:col>10</xdr:col>
                    <xdr:colOff>114300</xdr:colOff>
                    <xdr:row>6</xdr:row>
                    <xdr:rowOff>66675</xdr:rowOff>
                  </from>
                  <to>
                    <xdr:col>10</xdr:col>
                    <xdr:colOff>695325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7" name="Button 75">
              <controlPr defaultSize="0" print="0" autoFill="0" autoPict="0" macro="[0]!RollStat">
                <anchor moveWithCells="1" sizeWithCells="1">
                  <from>
                    <xdr:col>5</xdr:col>
                    <xdr:colOff>0</xdr:colOff>
                    <xdr:row>13</xdr:row>
                    <xdr:rowOff>161925</xdr:rowOff>
                  </from>
                  <to>
                    <xdr:col>6</xdr:col>
                    <xdr:colOff>9525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18" name="Button 80">
              <controlPr defaultSize="0" print="0" autoFill="0" autoPict="0" macro="[0]!PlaceBonus">
                <anchor moveWithCells="1" sizeWithCells="1">
                  <from>
                    <xdr:col>9</xdr:col>
                    <xdr:colOff>152400</xdr:colOff>
                    <xdr:row>13</xdr:row>
                    <xdr:rowOff>171450</xdr:rowOff>
                  </from>
                  <to>
                    <xdr:col>9</xdr:col>
                    <xdr:colOff>714375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19" name="Button 83">
              <controlPr defaultSize="0" print="0" autoFill="0" autoPict="0" macro="[0]!StoreBonus">
                <anchor moveWithCells="1" sizeWithCells="1">
                  <from>
                    <xdr:col>9</xdr:col>
                    <xdr:colOff>742950</xdr:colOff>
                    <xdr:row>14</xdr:row>
                    <xdr:rowOff>0</xdr:rowOff>
                  </from>
                  <to>
                    <xdr:col>10</xdr:col>
                    <xdr:colOff>38100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U4:U5 U7:U1048576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V4:V5 V7:V1048576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W4:W5 G15 B15:C15 W7:W1048576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J20" sqref="J20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1414.1838162747285</v>
      </c>
      <c r="B1">
        <f ca="1">SUMIFS(G:G,E:E,"&gt;="&amp;A1,F:F,"&lt;"&amp;A1)</f>
        <v>5</v>
      </c>
      <c r="E1"/>
    </row>
    <row r="3" spans="1:7" x14ac:dyDescent="0.25">
      <c r="A3" t="str">
        <f ca="1">LOOKUP($B$1,$G:$G,A:A)</f>
        <v>Back</v>
      </c>
      <c r="B3" t="str">
        <f ca="1">LOOKUP($B$1,$G:$G,B:B)</f>
        <v>Back</v>
      </c>
      <c r="C3" t="str">
        <f ca="1">LOOKUP($B$1,$G:$G,C:C)</f>
        <v>Damage Variance</v>
      </c>
    </row>
    <row r="5" spans="1:7" s="1" customFormat="1" x14ac:dyDescent="0.25">
      <c r="A5" s="1" t="s">
        <v>157</v>
      </c>
      <c r="B5" s="1" t="s">
        <v>167</v>
      </c>
      <c r="C5" s="1" t="s">
        <v>159</v>
      </c>
      <c r="D5" s="1" t="s">
        <v>158</v>
      </c>
      <c r="E5" s="16" t="s">
        <v>183</v>
      </c>
      <c r="F5" s="18"/>
      <c r="G5" s="18" t="s">
        <v>184</v>
      </c>
    </row>
    <row r="6" spans="1:7" x14ac:dyDescent="0.25">
      <c r="A6" t="s">
        <v>160</v>
      </c>
      <c r="B6" t="s">
        <v>165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161</v>
      </c>
      <c r="B7" t="s">
        <v>168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162</v>
      </c>
      <c r="B8" t="s">
        <v>168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163</v>
      </c>
      <c r="B9" t="s">
        <v>168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164</v>
      </c>
      <c r="B10" t="s">
        <v>168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165</v>
      </c>
      <c r="B11" t="s">
        <v>165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166</v>
      </c>
      <c r="B12" t="s">
        <v>169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170</v>
      </c>
      <c r="B13" t="s">
        <v>169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171</v>
      </c>
      <c r="B14" t="s">
        <v>169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172</v>
      </c>
      <c r="B15" t="s">
        <v>169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173</v>
      </c>
      <c r="B16" t="s">
        <v>169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166</v>
      </c>
      <c r="B17" t="s">
        <v>174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170</v>
      </c>
      <c r="B18" t="s">
        <v>174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171</v>
      </c>
      <c r="B19" t="s">
        <v>174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172</v>
      </c>
      <c r="B20" t="s">
        <v>174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173</v>
      </c>
      <c r="B21" t="s">
        <v>174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175</v>
      </c>
      <c r="B22" t="s">
        <v>168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176</v>
      </c>
      <c r="B23" t="s">
        <v>165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177</v>
      </c>
      <c r="B24" t="s">
        <v>165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178</v>
      </c>
      <c r="B25" t="s">
        <v>169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179</v>
      </c>
      <c r="B26" t="s">
        <v>169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180</v>
      </c>
      <c r="B27" t="s">
        <v>169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181</v>
      </c>
      <c r="B28" t="s">
        <v>169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182</v>
      </c>
      <c r="B29" t="s">
        <v>169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178</v>
      </c>
      <c r="B30" t="s">
        <v>174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179</v>
      </c>
      <c r="B31" t="s">
        <v>174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180</v>
      </c>
      <c r="B32" t="s">
        <v>174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181</v>
      </c>
      <c r="B33" t="s">
        <v>174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182</v>
      </c>
      <c r="B34" t="s">
        <v>174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E17" sqref="E16:E1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2000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12.272727272727273</v>
      </c>
      <c r="C6" s="8">
        <f t="shared" ref="C6:E6" si="0">SUMIFS($F:$F,$A:$A,C$5,$B:$B,$A$6)</f>
        <v>20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2.5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57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2.5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2.5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1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3.4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3.3333333333333335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31.333333333333332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3.3333333333333335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4.4933333333333332</v>
      </c>
    </row>
    <row r="24" spans="1:6" x14ac:dyDescent="0.25">
      <c r="A24" t="s">
        <v>5</v>
      </c>
      <c r="B24" t="s">
        <v>49</v>
      </c>
      <c r="C24">
        <v>270</v>
      </c>
      <c r="D24" s="8">
        <f>$C24/LOOKUP($A24,'STAT COSTS'!$A:$A,'STAT COSTS'!$B:$B)</f>
        <v>12.272727272727273</v>
      </c>
      <c r="F24" s="8">
        <f t="shared" si="1"/>
        <v>12.272727272727273</v>
      </c>
    </row>
    <row r="25" spans="1:6" x14ac:dyDescent="0.25">
      <c r="A25" t="s">
        <v>6</v>
      </c>
      <c r="B25" t="s">
        <v>49</v>
      </c>
      <c r="C25">
        <v>180</v>
      </c>
      <c r="D25" s="8">
        <f>$C25/LOOKUP($A25,'STAT COSTS'!$A:$A,'STAT COSTS'!$B:$B)</f>
        <v>20</v>
      </c>
      <c r="F25" s="8">
        <f t="shared" si="1"/>
        <v>20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300</v>
      </c>
      <c r="D27" s="8">
        <f>$C27/LOOKUP($A27,'STAT COSTS'!$A:$A,'STAT COSTS'!$B:$B)</f>
        <v>1.5</v>
      </c>
      <c r="E27" s="8">
        <v>1</v>
      </c>
      <c r="F27" s="8">
        <f t="shared" si="1"/>
        <v>2.5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5" priority="1" operator="equal">
      <formula>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492E8-5B19-4008-A4F5-24DD7F2424FA}">
  <sheetPr codeName="Sheet17"/>
  <dimension ref="A2:J39"/>
  <sheetViews>
    <sheetView tabSelected="1" workbookViewId="0">
      <selection activeCell="E38" sqref="E38"/>
    </sheetView>
  </sheetViews>
  <sheetFormatPr defaultRowHeight="15" x14ac:dyDescent="0.25"/>
  <sheetData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0" x14ac:dyDescent="0.25">
      <c r="A3" t="s">
        <v>222</v>
      </c>
      <c r="B3">
        <v>21</v>
      </c>
      <c r="C3">
        <f>SUM(C9:C103)+SUM(J9:J103)</f>
        <v>0</v>
      </c>
      <c r="D3" t="s">
        <v>222</v>
      </c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0</v>
      </c>
      <c r="C6" s="8">
        <f t="shared" ref="C6:E6" si="0">SUMIFS($F:$F,$A:$A,C$5,$B:$B,$A$6)</f>
        <v>0</v>
      </c>
      <c r="D6" s="8">
        <f>SUMIF(Weapons!A:A,A6,Weapons!C:C)</f>
        <v>40</v>
      </c>
      <c r="E6" s="8">
        <f t="shared" si="0"/>
        <v>0</v>
      </c>
      <c r="F6" s="8">
        <f>SUMIFS($F:$F,$A:$A,F$5,$B:$B,$A$6)</f>
        <v>1</v>
      </c>
      <c r="G6">
        <v>15</v>
      </c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MIN($B$3,SUMIF(Species!$A:$A,$D$3,Species!$B:$B))*SUMIFS(Species_Stats!E:E,Species_Stats!A:A,$D$3,Species_Stats!B:B,A9)</f>
        <v>147</v>
      </c>
      <c r="F9" s="8">
        <f>D9+E9</f>
        <v>147</v>
      </c>
    </row>
    <row r="10" spans="1:10" x14ac:dyDescent="0.25">
      <c r="A10" t="s">
        <v>15</v>
      </c>
      <c r="D10" s="8">
        <f>$C10/LOOKUP($A10,'STAT COSTS'!$A:$A,'STAT COSTS'!$B:$B)</f>
        <v>0</v>
      </c>
      <c r="E10" s="8">
        <f>MIN($B$3,SUMIF(Species!$A:$A,$D$3,Species!$B:$B))*SUMIFS(Species_Stats!E:E,Species_Stats!A:A,$D$3,Species_Stats!B:B,A10)</f>
        <v>0</v>
      </c>
      <c r="F10" s="8">
        <f t="shared" ref="F10:F35" si="1">D10+E10</f>
        <v>0</v>
      </c>
    </row>
    <row r="11" spans="1:10" x14ac:dyDescent="0.25">
      <c r="A11" t="s">
        <v>16</v>
      </c>
      <c r="D11" s="8">
        <f>$C11/LOOKUP($A11,'STAT COSTS'!$A:$A,'STAT COSTS'!$B:$B)</f>
        <v>0</v>
      </c>
      <c r="E11" s="8">
        <f>MIN($B$3,SUMIF(Species!$A:$A,$D$3,Species!$B:$B))*SUMIFS(Species_Stats!E:E,Species_Stats!A:A,$D$3,Species_Stats!B:B,A11)</f>
        <v>31.5</v>
      </c>
      <c r="F11" s="8">
        <f t="shared" si="1"/>
        <v>31.5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MIN($B$3,SUMIF(Species!$A:$A,$D$3,Species!$B:$B))*SUMIFS(Species_Stats!E:E,Species_Stats!A:A,$D$3,Species_Stats!B:B,A12)</f>
        <v>0.21</v>
      </c>
      <c r="F12" s="8">
        <f t="shared" si="1"/>
        <v>0.21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MIN($B$3,SUMIF(Species!$A:$A,$D$3,Species!$B:$B))*SUMIFS(Species_Stats!E:E,Species_Stats!A:A,$D$3,Species_Stats!B:B,A13)</f>
        <v>2.52</v>
      </c>
      <c r="F13" s="8">
        <f t="shared" si="1"/>
        <v>2.52</v>
      </c>
    </row>
    <row r="14" spans="1:10" x14ac:dyDescent="0.25">
      <c r="A14" t="s">
        <v>9</v>
      </c>
      <c r="D14" s="8">
        <f>$C14/LOOKUP($A14,'STAT COSTS'!$A:$A,'STAT COSTS'!$B:$B)</f>
        <v>0</v>
      </c>
      <c r="E14" s="8">
        <f>MIN($B$3,SUMIF(Species!$A:$A,$D$3,Species!$B:$B))*SUMIFS(Species_Stats!E:E,Species_Stats!A:A,$D$3,Species_Stats!B:B,A14)</f>
        <v>0</v>
      </c>
      <c r="F14" s="8">
        <f t="shared" si="1"/>
        <v>0</v>
      </c>
    </row>
    <row r="15" spans="1:10" x14ac:dyDescent="0.25">
      <c r="A15" t="s">
        <v>10</v>
      </c>
      <c r="D15" s="8">
        <f>$C15/LOOKUP($A15,'STAT COSTS'!$A:$A,'STAT COSTS'!$B:$B)</f>
        <v>0</v>
      </c>
      <c r="E15" s="8">
        <f>MIN($B$3,SUMIF(Species!$A:$A,$D$3,Species!$B:$B))*SUMIFS(Species_Stats!E:E,Species_Stats!A:A,$D$3,Species_Stats!B:B,A15)</f>
        <v>12.6</v>
      </c>
      <c r="F15" s="8">
        <f t="shared" si="1"/>
        <v>12.6</v>
      </c>
    </row>
    <row r="16" spans="1:10" x14ac:dyDescent="0.25">
      <c r="A16" t="s">
        <v>13</v>
      </c>
      <c r="D16" s="8">
        <f>$C16/LOOKUP($A16,'STAT COSTS'!$A:$A,'STAT COSTS'!$B:$B)</f>
        <v>0</v>
      </c>
      <c r="E16" s="8">
        <f>MIN($B$3,SUMIF(Species!$A:$A,$D$3,Species!$B:$B))*SUMIFS(Species_Stats!E:E,Species_Stats!A:A,$D$3,Species_Stats!B:B,A16) + $F$9*SUMIFS(Species_Stats!F:F,Species_Stats!A:A,$D$3,Species_Stats!B:B,A16)</f>
        <v>13.965</v>
      </c>
      <c r="F16" s="8">
        <f t="shared" si="1"/>
        <v>13.965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MIN($B$3,SUMIF(Species!$A:$A,$D$3,Species!$B:$B))*SUMIFS(Species_Stats!E:E,Species_Stats!A:A,$D$3,Species_Stats!B:B,A17) + $F$9*SUMIFS(Species_Stats!F:F,Species_Stats!A:A,$D$3,Species_Stats!B:B,A17)</f>
        <v>22.05</v>
      </c>
      <c r="F17" s="8">
        <f t="shared" si="1"/>
        <v>22.05</v>
      </c>
    </row>
    <row r="18" spans="1:6" x14ac:dyDescent="0.25">
      <c r="A18" t="s">
        <v>11</v>
      </c>
      <c r="D18" s="8">
        <f>$C18/LOOKUP($A18,'STAT COSTS'!$A:$A,'STAT COSTS'!$B:$B)</f>
        <v>0</v>
      </c>
      <c r="E18" s="8">
        <f>MIN($B$3,SUMIF(Species!$A:$A,$D$3,Species!$B:$B))*SUMIFS(Species_Stats!E:E,Species_Stats!A:A,$D$3,Species_Stats!B:B,A18) + $F$9*SUMIFS(Species_Stats!F:F,Species_Stats!A:A,$D$3,Species_Stats!B:B,A18)</f>
        <v>7.3500000000000005</v>
      </c>
      <c r="F18" s="8">
        <f t="shared" si="1"/>
        <v>7.3500000000000005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MIN($B$3,SUMIF(Species!$A:$A,$D$3,Species!$B:$B))*SUMIFS(Species_Stats!E:E,Species_Stats!A:A,$D$3,Species_Stats!B:B,A19) + $F$9*SUMIFS(Species_Stats!F:F,Species_Stats!A:A,$D$3,Species_Stats!B:B,A19)</f>
        <v>11.76</v>
      </c>
      <c r="F19" s="8">
        <f t="shared" si="1"/>
        <v>11.76</v>
      </c>
    </row>
    <row r="20" spans="1:6" x14ac:dyDescent="0.25">
      <c r="A20" t="s">
        <v>19</v>
      </c>
      <c r="D20" s="8">
        <f>$C20/LOOKUP($A20,'STAT COSTS'!$A:$A,'STAT COSTS'!$B:$B)</f>
        <v>0</v>
      </c>
      <c r="E20" s="8">
        <f>MIN($B$3,SUMIF(Species!$A:$A,$D$3,Species!$B:$B))*SUMIFS(Species_Stats!E:E,Species_Stats!A:A,$D$3,Species_Stats!B:B,A20) + $F$9*SUMIFS(Species_Stats!F:F,Species_Stats!A:A,$D$3,Species_Stats!B:B,A20)</f>
        <v>69.089999999999989</v>
      </c>
      <c r="F20" s="8">
        <f t="shared" si="1"/>
        <v>69.089999999999989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MIN($B$3,SUMIF(Species!$A:$A,$D$3,Species!$B:$B))*SUMIFS(Species_Stats!E:E,Species_Stats!A:A,$D$3,Species_Stats!B:B,A21) + $F$9*SUMIFS(Species_Stats!F:F,Species_Stats!A:A,$D$3,Species_Stats!B:B,A21)</f>
        <v>0</v>
      </c>
      <c r="F21" s="8">
        <f t="shared" si="1"/>
        <v>0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MIN($B$3,SUMIF(Species!$A:$A,$D$3,Species!$B:$B))*SUMIFS(Species_Stats!E:E,Species_Stats!A:A,$D$3,Species_Stats!B:B,A22)</f>
        <v>21</v>
      </c>
      <c r="F22" s="8">
        <f t="shared" si="1"/>
        <v>21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1.42</v>
      </c>
      <c r="F23" s="8">
        <f t="shared" si="1"/>
        <v>1.42</v>
      </c>
    </row>
    <row r="24" spans="1:6" x14ac:dyDescent="0.25">
      <c r="A24" t="s">
        <v>5</v>
      </c>
      <c r="B24" t="s">
        <v>49</v>
      </c>
      <c r="D24" s="8">
        <f>$C24/LOOKUP($A24,'STAT COSTS'!$A:$A,'STAT COSTS'!$B:$B)</f>
        <v>0</v>
      </c>
      <c r="E24" s="8"/>
      <c r="F24" s="8">
        <f t="shared" si="1"/>
        <v>0</v>
      </c>
    </row>
    <row r="25" spans="1:6" x14ac:dyDescent="0.25">
      <c r="A25" t="s">
        <v>6</v>
      </c>
      <c r="B25" t="s">
        <v>49</v>
      </c>
      <c r="D25" s="8">
        <f>$C25/LOOKUP($A25,'STAT COSTS'!$A:$A,'STAT COSTS'!$B:$B)</f>
        <v>0</v>
      </c>
      <c r="E25" s="8"/>
      <c r="F25" s="8">
        <f t="shared" si="1"/>
        <v>0</v>
      </c>
    </row>
    <row r="26" spans="1:6" x14ac:dyDescent="0.25">
      <c r="A26" t="s">
        <v>7</v>
      </c>
      <c r="B26" t="s">
        <v>49</v>
      </c>
      <c r="D26" s="8">
        <f>$C26/LOOKUP($A26,'STAT COSTS'!$A:$A,'STAT COSTS'!$B:$B)</f>
        <v>0</v>
      </c>
      <c r="E26" s="8"/>
      <c r="F26" s="8">
        <f t="shared" si="1"/>
        <v>0</v>
      </c>
    </row>
    <row r="27" spans="1:6" x14ac:dyDescent="0.25">
      <c r="A27" t="s">
        <v>120</v>
      </c>
      <c r="B27" t="s">
        <v>49</v>
      </c>
      <c r="D27" s="8">
        <f>$C27/LOOKUP($A27,'STAT COSTS'!$A:$A,'STAT COSTS'!$B:$B)</f>
        <v>0</v>
      </c>
      <c r="E27" s="8">
        <v>1</v>
      </c>
      <c r="F27" s="8">
        <f t="shared" si="1"/>
        <v>1</v>
      </c>
    </row>
    <row r="28" spans="1:6" x14ac:dyDescent="0.25">
      <c r="A28" t="s">
        <v>124</v>
      </c>
      <c r="B28" t="s">
        <v>49</v>
      </c>
      <c r="D28" s="8">
        <f>$C28/LOOKUP($A28,'STAT COSTS'!$A:$A,'STAT COSTS'!$B:$B)</f>
        <v>0</v>
      </c>
      <c r="E28" s="8">
        <v>0.1</v>
      </c>
      <c r="F28" s="11">
        <f t="shared" si="1"/>
        <v>0.1</v>
      </c>
    </row>
    <row r="29" spans="1:6" x14ac:dyDescent="0.25">
      <c r="A29" t="s">
        <v>5</v>
      </c>
      <c r="B29" t="s">
        <v>67</v>
      </c>
      <c r="D29" s="8">
        <f>$C29/LOOKUP($A29,'STAT COSTS'!$A:$A,'STAT COSTS'!$B:$B)</f>
        <v>0</v>
      </c>
      <c r="E29" s="8"/>
      <c r="F29" s="8">
        <f t="shared" si="1"/>
        <v>0</v>
      </c>
    </row>
    <row r="30" spans="1:6" x14ac:dyDescent="0.25">
      <c r="A30" t="s">
        <v>6</v>
      </c>
      <c r="B30" t="s">
        <v>67</v>
      </c>
      <c r="D30" s="8">
        <f>$C30/LOOKUP($A30,'STAT COSTS'!$A:$A,'STAT COSTS'!$B:$B)</f>
        <v>0</v>
      </c>
      <c r="E30" s="8"/>
      <c r="F30" s="8">
        <f t="shared" si="1"/>
        <v>0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E31" s="8">
        <f>MIN($B$3,SUMIF(Species!$A:$A,$D$3,Species!$B:$B))*SUMIFS(Species_Stats!E:E,Species_Stats!A:A,$D$3,Species_Stats!B:B,A31)</f>
        <v>0</v>
      </c>
      <c r="F31" s="8">
        <f t="shared" si="1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1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E33" s="8"/>
      <c r="F33" s="8">
        <f t="shared" si="1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1"/>
        <v>1</v>
      </c>
    </row>
    <row r="35" spans="1:6" x14ac:dyDescent="0.25">
      <c r="A35" t="s">
        <v>221</v>
      </c>
      <c r="D35" s="8">
        <f>$C35/LOOKUP($A35,'STAT COSTS'!$A:$A,'STAT COSTS'!$B:$B)</f>
        <v>0</v>
      </c>
      <c r="E35" s="8">
        <f>MIN($B$3,SUMIF(Species!$A:$A,$D$3,Species!$B:$B))*SUMIFS(Species_Stats!E:E,Species_Stats!A:A,$D$3,Species_Stats!B:B,A35)</f>
        <v>9.4500000000000011</v>
      </c>
      <c r="F35" s="8">
        <f t="shared" si="1"/>
        <v>9.4500000000000011</v>
      </c>
    </row>
    <row r="36" spans="1:6" x14ac:dyDescent="0.25">
      <c r="A36" t="s">
        <v>223</v>
      </c>
      <c r="D36" s="8">
        <f>$C36/LOOKUP($A36,'STAT COSTS'!$A:$A,'STAT COSTS'!$B:$B)</f>
        <v>0</v>
      </c>
      <c r="E36" s="8">
        <f>MIN($B$3,SUMIF(Species!$A:$A,$D$3,Species!$B:$B))*SUMIFS(Species_Stats!E:E,Species_Stats!A:A,$D$3,Species_Stats!B:B,A36)</f>
        <v>27.3</v>
      </c>
      <c r="F36" s="8">
        <f t="shared" ref="F36:F39" si="2">D36+E36</f>
        <v>27.3</v>
      </c>
    </row>
    <row r="37" spans="1:6" x14ac:dyDescent="0.25">
      <c r="A37" t="s">
        <v>232</v>
      </c>
      <c r="D37" s="8">
        <f>$C37/LOOKUP($A37,'STAT COSTS'!$A:$A,'STAT COSTS'!$B:$B)</f>
        <v>0</v>
      </c>
      <c r="E37" s="8">
        <f>MIN($B$3,SUMIF(Species!$A:$A,$D$3,Species!$B:$B))*SUMIFS(Species_Stats!E:E,Species_Stats!A:A,$D$3,Species_Stats!B:B,A37)</f>
        <v>10.5</v>
      </c>
      <c r="F37" s="8">
        <f t="shared" si="2"/>
        <v>10.5</v>
      </c>
    </row>
    <row r="38" spans="1:6" x14ac:dyDescent="0.25">
      <c r="A38" t="s">
        <v>233</v>
      </c>
      <c r="D38" s="8">
        <f>$C38/LOOKUP($A38,'STAT COSTS'!$A:$A,'STAT COSTS'!$B:$B)</f>
        <v>0</v>
      </c>
      <c r="E38" s="8">
        <f>MIN($B$3,SUMIF(Species!$A:$A,$D$3,Species!$B:$B))*SUMIFS(Species_Stats!E:E,Species_Stats!A:A,$D$3,Species_Stats!B:B,A38)</f>
        <v>30.87</v>
      </c>
      <c r="F38" s="8">
        <f t="shared" si="2"/>
        <v>30.87</v>
      </c>
    </row>
    <row r="39" spans="1:6" x14ac:dyDescent="0.25">
      <c r="A39" t="s">
        <v>247</v>
      </c>
      <c r="D39" s="8">
        <f>$C39/LOOKUP($A39,'STAT COSTS'!$A:$A,'STAT COSTS'!$B:$B)</f>
        <v>0</v>
      </c>
      <c r="E39" s="8">
        <f>MIN($B$3,SUMIF(Species!$A:$A,$D$3,Species!$B:$B))*SUMIFS(Species_Stats!E:E,Species_Stats!A:A,$D$3,Species_Stats!B:B,A39)</f>
        <v>1.05</v>
      </c>
      <c r="F39" s="8">
        <f t="shared" si="2"/>
        <v>1.05</v>
      </c>
    </row>
  </sheetData>
  <conditionalFormatting sqref="E8:E15 E22:E39">
    <cfRule type="cellIs" dxfId="4" priority="2" operator="equal">
      <formula>0</formula>
    </cfRule>
  </conditionalFormatting>
  <conditionalFormatting sqref="E16:E21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9416407-C358-40AB-9DEF-D8F964954154}">
          <x14:formula1>
            <xm:f>Species!$A:$A</xm:f>
          </x14:formula1>
          <xm:sqref>D3</xm:sqref>
        </x14:dataValidation>
        <x14:dataValidation type="list" allowBlank="1" showInputMessage="1" showErrorMessage="1" xr:uid="{4C5AFD43-5D9D-4C95-AEF5-64A26EF2FFDD}">
          <x14:formula1>
            <xm:f>Weapons!$A:$A</xm:f>
          </x14:formula1>
          <xm:sqref>A6</xm:sqref>
        </x14:dataValidation>
        <x14:dataValidation type="list" allowBlank="1" showInputMessage="1" showErrorMessage="1" xr:uid="{79FC13DA-B246-481E-A605-CECB87BB672D}">
          <x14:formula1>
            <xm:f>'STAT COSTS'!$A:$A</xm:f>
          </x14:formula1>
          <xm:sqref>A41:A51 A9:A39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6"/>
  <sheetViews>
    <sheetView workbookViewId="0">
      <selection activeCell="E12" sqref="E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SUM(C9:C105)+SUM(J9:J105)</f>
        <v>2500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190</v>
      </c>
      <c r="B6" s="8">
        <f>SUMIFS($F:$F,$A:$A,B$5,$B:$B,$A$6)</f>
        <v>7.7272727272727275</v>
      </c>
      <c r="C6" s="8">
        <f>SUMIFS($F:$F,$A:$A,C$5,$B:$B,$A$6)</f>
        <v>33.333333333333336</v>
      </c>
      <c r="D6" s="8">
        <f>SUMIF(Weapons!A:A,A6,Weapons!C:C)</f>
        <v>50</v>
      </c>
      <c r="E6" s="8">
        <f>SUMIFS($F:$F,$A:$A,E$5,$B:$B,$A$6)</f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13.5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30" si="0">D10+E10</f>
        <v>13.5</v>
      </c>
      <c r="I10" t="s">
        <v>192</v>
      </c>
      <c r="J10">
        <v>300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9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0"/>
        <v>65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0"/>
        <v>0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0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0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0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0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0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0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0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0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0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0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0"/>
        <v>1.1599999999999999</v>
      </c>
    </row>
    <row r="24" spans="1:6" x14ac:dyDescent="0.25">
      <c r="A24" t="s">
        <v>5</v>
      </c>
      <c r="B24" t="s">
        <v>190</v>
      </c>
      <c r="C24">
        <v>170</v>
      </c>
      <c r="D24" s="8">
        <f>$C24/LOOKUP($A24,'STAT COSTS'!$A:$A,'STAT COSTS'!$B:$B)</f>
        <v>7.7272727272727275</v>
      </c>
      <c r="F24" s="8">
        <f t="shared" si="0"/>
        <v>7.7272727272727275</v>
      </c>
    </row>
    <row r="25" spans="1:6" x14ac:dyDescent="0.25">
      <c r="A25" t="s">
        <v>6</v>
      </c>
      <c r="B25" t="s">
        <v>190</v>
      </c>
      <c r="C25">
        <v>300</v>
      </c>
      <c r="D25" s="8">
        <f>$C25/LOOKUP($A25,'STAT COSTS'!$A:$A,'STAT COSTS'!$B:$B)</f>
        <v>33.333333333333336</v>
      </c>
      <c r="F25" s="8">
        <f t="shared" si="0"/>
        <v>33.333333333333336</v>
      </c>
    </row>
    <row r="26" spans="1:6" x14ac:dyDescent="0.25">
      <c r="A26" t="s">
        <v>7</v>
      </c>
      <c r="B26" t="s">
        <v>190</v>
      </c>
      <c r="C26">
        <v>140</v>
      </c>
      <c r="D26" s="8">
        <f>$C26/LOOKUP($A26,'STAT COSTS'!$A:$A,'STAT COSTS'!$B:$B)</f>
        <v>28</v>
      </c>
      <c r="F26" s="8">
        <f t="shared" si="0"/>
        <v>28</v>
      </c>
    </row>
    <row r="27" spans="1:6" x14ac:dyDescent="0.25">
      <c r="A27" t="s">
        <v>120</v>
      </c>
      <c r="B27" t="s">
        <v>190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0"/>
        <v>1.1000000000000001</v>
      </c>
    </row>
    <row r="28" spans="1:6" x14ac:dyDescent="0.25">
      <c r="A28" t="s">
        <v>191</v>
      </c>
      <c r="B28" t="s">
        <v>190</v>
      </c>
      <c r="C28">
        <v>150</v>
      </c>
      <c r="D28" s="8">
        <f>$C28/LOOKUP($A28,'STAT COSTS'!$A:$A,'STAT COSTS'!$B:$B)</f>
        <v>0.6</v>
      </c>
      <c r="E28" s="8">
        <v>0.1</v>
      </c>
      <c r="F28" s="11">
        <f t="shared" si="0"/>
        <v>0.7</v>
      </c>
    </row>
    <row r="29" spans="1:6" x14ac:dyDescent="0.25">
      <c r="A29" t="s">
        <v>193</v>
      </c>
      <c r="B29" t="s">
        <v>190</v>
      </c>
      <c r="C29">
        <v>100</v>
      </c>
      <c r="D29" s="8">
        <f>$C29/LOOKUP($A29,'STAT COSTS'!$A:$A,'STAT COSTS'!$B:$B)</f>
        <v>50</v>
      </c>
      <c r="F29" s="11">
        <f t="shared" si="0"/>
        <v>50</v>
      </c>
    </row>
    <row r="30" spans="1:6" x14ac:dyDescent="0.25">
      <c r="A30" t="s">
        <v>194</v>
      </c>
      <c r="B30" t="s">
        <v>190</v>
      </c>
      <c r="C30">
        <v>100</v>
      </c>
      <c r="D30" s="8">
        <f>$C30/LOOKUP($A30,'STAT COSTS'!$A:$A,'STAT COSTS'!$B:$B)</f>
        <v>100</v>
      </c>
      <c r="F30" s="11">
        <f t="shared" si="0"/>
        <v>100</v>
      </c>
    </row>
    <row r="31" spans="1:6" x14ac:dyDescent="0.25">
      <c r="A31" t="s">
        <v>5</v>
      </c>
      <c r="B31" t="s">
        <v>67</v>
      </c>
      <c r="C31">
        <v>50</v>
      </c>
      <c r="D31" s="8">
        <f>$C31/LOOKUP($A31,'STAT COSTS'!$A:$A,'STAT COSTS'!$B:$B)</f>
        <v>2.2727272727272729</v>
      </c>
      <c r="F31" s="8">
        <f t="shared" ref="F31:F36" si="1">D31+E31</f>
        <v>2.2727272727272729</v>
      </c>
    </row>
    <row r="32" spans="1:6" x14ac:dyDescent="0.25">
      <c r="A32" t="s">
        <v>6</v>
      </c>
      <c r="B32" t="s">
        <v>67</v>
      </c>
      <c r="C32">
        <v>55</v>
      </c>
      <c r="D32" s="8">
        <f>$C32/LOOKUP($A32,'STAT COSTS'!$A:$A,'STAT COSTS'!$B:$B)</f>
        <v>6.1111111111111107</v>
      </c>
      <c r="F32" s="8">
        <f t="shared" si="1"/>
        <v>6.1111111111111107</v>
      </c>
    </row>
    <row r="33" spans="1:6" x14ac:dyDescent="0.25">
      <c r="A33" t="s">
        <v>5</v>
      </c>
      <c r="B33" t="s">
        <v>68</v>
      </c>
      <c r="C33">
        <v>50</v>
      </c>
      <c r="D33" s="8">
        <f>$C33/LOOKUP($A33,'STAT COSTS'!$A:$A,'STAT COSTS'!$B:$B)</f>
        <v>2.2727272727272729</v>
      </c>
      <c r="F33" s="8">
        <f t="shared" si="1"/>
        <v>2.2727272727272729</v>
      </c>
    </row>
    <row r="34" spans="1:6" x14ac:dyDescent="0.25">
      <c r="A34" t="s">
        <v>6</v>
      </c>
      <c r="B34" t="s">
        <v>68</v>
      </c>
      <c r="C34">
        <v>75</v>
      </c>
      <c r="D34" s="8">
        <f>$C34/LOOKUP($A34,'STAT COSTS'!$A:$A,'STAT COSTS'!$B:$B)</f>
        <v>8.3333333333333339</v>
      </c>
      <c r="E34" s="8">
        <v>20</v>
      </c>
      <c r="F34" s="8">
        <f t="shared" si="1"/>
        <v>28.333333333333336</v>
      </c>
    </row>
    <row r="35" spans="1:6" x14ac:dyDescent="0.25">
      <c r="A35" t="s">
        <v>7</v>
      </c>
      <c r="B35" t="s">
        <v>68</v>
      </c>
      <c r="D35" s="8">
        <f>$C35/LOOKUP($A35,'STAT COSTS'!$A:$A,'STAT COSTS'!$B:$B)</f>
        <v>0</v>
      </c>
      <c r="F35" s="8">
        <f t="shared" si="1"/>
        <v>0</v>
      </c>
    </row>
    <row r="36" spans="1:6" x14ac:dyDescent="0.25">
      <c r="A36" t="s">
        <v>120</v>
      </c>
      <c r="B36" t="s">
        <v>68</v>
      </c>
      <c r="D36" s="8">
        <f>$C36/LOOKUP($A36,'STAT COSTS'!$A:$A,'STAT COSTS'!$B:$B)</f>
        <v>0</v>
      </c>
      <c r="E36" s="8">
        <v>1</v>
      </c>
      <c r="F36" s="8">
        <f t="shared" si="1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I12" sqref="I12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185</v>
      </c>
      <c r="M8" s="1" t="s">
        <v>157</v>
      </c>
      <c r="N8" s="1" t="s">
        <v>59</v>
      </c>
      <c r="O8" s="1" t="s">
        <v>186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0.5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1.5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1.71</v>
      </c>
      <c r="H12">
        <f ca="1">1.9+4.4*RAND()</f>
        <v>3.5610913064503888</v>
      </c>
      <c r="I12">
        <f>6+2.8</f>
        <v>8.8000000000000007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0.75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3.27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33.333333333333336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85.833333333333343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3.3333333333333335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5.3833333333333329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4"/>
  <sheetViews>
    <sheetView workbookViewId="0">
      <selection activeCell="H14" sqref="H14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190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  <row r="14" spans="1:7" x14ac:dyDescent="0.25">
      <c r="A14" t="s">
        <v>205</v>
      </c>
      <c r="B14">
        <v>1</v>
      </c>
      <c r="C14">
        <v>6</v>
      </c>
      <c r="D14" t="s">
        <v>91</v>
      </c>
      <c r="E14">
        <v>1</v>
      </c>
      <c r="F14">
        <v>1</v>
      </c>
      <c r="G14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7" t="s">
        <v>95</v>
      </c>
      <c r="D2" s="27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C62"/>
  <sheetViews>
    <sheetView workbookViewId="0">
      <selection activeCell="B63" sqref="B63"/>
    </sheetView>
  </sheetViews>
  <sheetFormatPr defaultRowHeight="15" x14ac:dyDescent="0.25"/>
  <cols>
    <col min="1" max="1" width="24.85546875" bestFit="1" customWidth="1"/>
  </cols>
  <sheetData>
    <row r="3" spans="1:3" s="1" customFormat="1" x14ac:dyDescent="0.25">
      <c r="A3" s="1" t="s">
        <v>59</v>
      </c>
      <c r="B3" s="1" t="s">
        <v>60</v>
      </c>
      <c r="C3" s="1" t="s">
        <v>56</v>
      </c>
    </row>
    <row r="4" spans="1:3" x14ac:dyDescent="0.25">
      <c r="A4" t="s">
        <v>5</v>
      </c>
      <c r="B4">
        <v>22</v>
      </c>
    </row>
    <row r="5" spans="1:3" x14ac:dyDescent="0.25">
      <c r="A5" t="s">
        <v>6</v>
      </c>
      <c r="B5">
        <v>9</v>
      </c>
    </row>
    <row r="6" spans="1:3" x14ac:dyDescent="0.25">
      <c r="A6" t="s">
        <v>193</v>
      </c>
      <c r="B6">
        <v>2</v>
      </c>
    </row>
    <row r="7" spans="1:3" x14ac:dyDescent="0.25">
      <c r="A7" t="s">
        <v>194</v>
      </c>
      <c r="B7">
        <v>1</v>
      </c>
    </row>
    <row r="8" spans="1:3" x14ac:dyDescent="0.25">
      <c r="A8" t="s">
        <v>19</v>
      </c>
      <c r="B8">
        <v>10</v>
      </c>
    </row>
    <row r="9" spans="1:3" x14ac:dyDescent="0.25">
      <c r="A9" t="s">
        <v>20</v>
      </c>
      <c r="B9">
        <v>2</v>
      </c>
    </row>
    <row r="10" spans="1:3" x14ac:dyDescent="0.25">
      <c r="A10" t="s">
        <v>120</v>
      </c>
      <c r="B10">
        <v>200</v>
      </c>
    </row>
    <row r="11" spans="1:3" x14ac:dyDescent="0.25">
      <c r="A11" t="s">
        <v>7</v>
      </c>
      <c r="B11">
        <v>5</v>
      </c>
    </row>
    <row r="12" spans="1:3" x14ac:dyDescent="0.25">
      <c r="A12" t="s">
        <v>9</v>
      </c>
      <c r="B12">
        <v>25</v>
      </c>
    </row>
    <row r="13" spans="1:3" x14ac:dyDescent="0.25">
      <c r="A13" t="s">
        <v>10</v>
      </c>
      <c r="B13">
        <v>5</v>
      </c>
    </row>
    <row r="14" spans="1:3" x14ac:dyDescent="0.25">
      <c r="A14" t="s">
        <v>13</v>
      </c>
      <c r="B14">
        <v>12</v>
      </c>
    </row>
    <row r="15" spans="1:3" x14ac:dyDescent="0.25">
      <c r="A15" t="s">
        <v>14</v>
      </c>
      <c r="B15">
        <v>4</v>
      </c>
    </row>
    <row r="16" spans="1:3" x14ac:dyDescent="0.25">
      <c r="A16" t="s">
        <v>191</v>
      </c>
      <c r="B16">
        <v>250</v>
      </c>
      <c r="C16" t="s">
        <v>94</v>
      </c>
    </row>
    <row r="17" spans="1:2" x14ac:dyDescent="0.25">
      <c r="A17" t="s">
        <v>2</v>
      </c>
      <c r="B17">
        <v>10</v>
      </c>
    </row>
    <row r="18" spans="1:2" x14ac:dyDescent="0.25">
      <c r="A18" t="s">
        <v>11</v>
      </c>
      <c r="B18">
        <v>11</v>
      </c>
    </row>
    <row r="19" spans="1:2" x14ac:dyDescent="0.25">
      <c r="A19" t="s">
        <v>12</v>
      </c>
      <c r="B19">
        <v>4</v>
      </c>
    </row>
    <row r="20" spans="1:2" x14ac:dyDescent="0.25">
      <c r="A20" t="s">
        <v>124</v>
      </c>
      <c r="B20">
        <v>1000</v>
      </c>
    </row>
    <row r="21" spans="1:2" x14ac:dyDescent="0.25">
      <c r="A21" t="s">
        <v>21</v>
      </c>
      <c r="B21">
        <v>18</v>
      </c>
    </row>
    <row r="22" spans="1:2" x14ac:dyDescent="0.25">
      <c r="A22" t="s">
        <v>22</v>
      </c>
      <c r="B22">
        <v>8</v>
      </c>
    </row>
    <row r="23" spans="1:2" x14ac:dyDescent="0.25">
      <c r="A23" t="s">
        <v>15</v>
      </c>
      <c r="B23">
        <v>18</v>
      </c>
    </row>
    <row r="24" spans="1:2" x14ac:dyDescent="0.25">
      <c r="A24" t="s">
        <v>16</v>
      </c>
      <c r="B24">
        <v>10</v>
      </c>
    </row>
    <row r="25" spans="1:2" x14ac:dyDescent="0.25">
      <c r="A25" t="s">
        <v>17</v>
      </c>
      <c r="B25">
        <v>15</v>
      </c>
    </row>
    <row r="26" spans="1:2" x14ac:dyDescent="0.25">
      <c r="A26" t="s">
        <v>18</v>
      </c>
      <c r="B26">
        <v>50</v>
      </c>
    </row>
    <row r="27" spans="1:2" x14ac:dyDescent="0.25">
      <c r="A27" t="s">
        <v>209</v>
      </c>
      <c r="B27">
        <v>15</v>
      </c>
    </row>
    <row r="28" spans="1:2" x14ac:dyDescent="0.25">
      <c r="A28" t="s">
        <v>215</v>
      </c>
      <c r="B28">
        <v>20</v>
      </c>
    </row>
    <row r="29" spans="1:2" x14ac:dyDescent="0.25">
      <c r="A29" t="s">
        <v>240</v>
      </c>
      <c r="B29">
        <v>20</v>
      </c>
    </row>
    <row r="30" spans="1:2" x14ac:dyDescent="0.25">
      <c r="A30" t="s">
        <v>216</v>
      </c>
      <c r="B30">
        <v>20</v>
      </c>
    </row>
    <row r="31" spans="1:2" x14ac:dyDescent="0.25">
      <c r="A31" t="s">
        <v>241</v>
      </c>
      <c r="B31">
        <v>20</v>
      </c>
    </row>
    <row r="32" spans="1:2" x14ac:dyDescent="0.25">
      <c r="A32" t="s">
        <v>217</v>
      </c>
      <c r="B32">
        <v>20</v>
      </c>
    </row>
    <row r="33" spans="1:2" x14ac:dyDescent="0.25">
      <c r="A33" t="s">
        <v>242</v>
      </c>
      <c r="B33">
        <v>20</v>
      </c>
    </row>
    <row r="34" spans="1:2" x14ac:dyDescent="0.25">
      <c r="A34" t="s">
        <v>218</v>
      </c>
      <c r="B34">
        <v>20</v>
      </c>
    </row>
    <row r="35" spans="1:2" x14ac:dyDescent="0.25">
      <c r="A35" t="s">
        <v>243</v>
      </c>
      <c r="B35">
        <v>20</v>
      </c>
    </row>
    <row r="36" spans="1:2" x14ac:dyDescent="0.25">
      <c r="A36" t="s">
        <v>219</v>
      </c>
      <c r="B36">
        <v>20</v>
      </c>
    </row>
    <row r="37" spans="1:2" x14ac:dyDescent="0.25">
      <c r="A37" t="s">
        <v>244</v>
      </c>
      <c r="B37">
        <v>20</v>
      </c>
    </row>
    <row r="38" spans="1:2" x14ac:dyDescent="0.25">
      <c r="A38" t="s">
        <v>220</v>
      </c>
      <c r="B38">
        <v>20</v>
      </c>
    </row>
    <row r="39" spans="1:2" x14ac:dyDescent="0.25">
      <c r="A39" t="s">
        <v>245</v>
      </c>
      <c r="B39">
        <v>20</v>
      </c>
    </row>
    <row r="40" spans="1:2" x14ac:dyDescent="0.25">
      <c r="A40" t="s">
        <v>221</v>
      </c>
      <c r="B40">
        <v>20</v>
      </c>
    </row>
    <row r="41" spans="1:2" x14ac:dyDescent="0.25">
      <c r="A41" t="s">
        <v>223</v>
      </c>
      <c r="B41">
        <v>20</v>
      </c>
    </row>
    <row r="42" spans="1:2" x14ac:dyDescent="0.25">
      <c r="A42" t="s">
        <v>224</v>
      </c>
      <c r="B42">
        <v>20</v>
      </c>
    </row>
    <row r="43" spans="1:2" x14ac:dyDescent="0.25">
      <c r="A43" t="s">
        <v>225</v>
      </c>
      <c r="B43">
        <v>20</v>
      </c>
    </row>
    <row r="44" spans="1:2" x14ac:dyDescent="0.25">
      <c r="A44" t="s">
        <v>226</v>
      </c>
      <c r="B44">
        <v>20</v>
      </c>
    </row>
    <row r="45" spans="1:2" x14ac:dyDescent="0.25">
      <c r="A45" t="s">
        <v>227</v>
      </c>
      <c r="B45">
        <v>20</v>
      </c>
    </row>
    <row r="46" spans="1:2" x14ac:dyDescent="0.25">
      <c r="A46" t="s">
        <v>228</v>
      </c>
      <c r="B46">
        <v>20</v>
      </c>
    </row>
    <row r="47" spans="1:2" x14ac:dyDescent="0.25">
      <c r="A47" t="s">
        <v>229</v>
      </c>
      <c r="B47">
        <v>20</v>
      </c>
    </row>
    <row r="48" spans="1:2" x14ac:dyDescent="0.25">
      <c r="A48" t="s">
        <v>230</v>
      </c>
      <c r="B48">
        <v>20</v>
      </c>
    </row>
    <row r="49" spans="1:2" x14ac:dyDescent="0.25">
      <c r="A49" t="s">
        <v>231</v>
      </c>
      <c r="B49">
        <v>20</v>
      </c>
    </row>
    <row r="50" spans="1:2" x14ac:dyDescent="0.25">
      <c r="A50" t="s">
        <v>232</v>
      </c>
      <c r="B50">
        <v>20</v>
      </c>
    </row>
    <row r="51" spans="1:2" x14ac:dyDescent="0.25">
      <c r="A51" t="s">
        <v>233</v>
      </c>
      <c r="B51">
        <v>20</v>
      </c>
    </row>
    <row r="52" spans="1:2" x14ac:dyDescent="0.25">
      <c r="A52" t="s">
        <v>234</v>
      </c>
      <c r="B52">
        <v>20</v>
      </c>
    </row>
    <row r="53" spans="1:2" x14ac:dyDescent="0.25">
      <c r="A53" t="s">
        <v>235</v>
      </c>
      <c r="B53">
        <v>20</v>
      </c>
    </row>
    <row r="54" spans="1:2" x14ac:dyDescent="0.25">
      <c r="A54" t="s">
        <v>236</v>
      </c>
      <c r="B54">
        <v>20</v>
      </c>
    </row>
    <row r="55" spans="1:2" x14ac:dyDescent="0.25">
      <c r="A55" t="s">
        <v>237</v>
      </c>
      <c r="B55">
        <v>20</v>
      </c>
    </row>
    <row r="56" spans="1:2" x14ac:dyDescent="0.25">
      <c r="A56" t="s">
        <v>238</v>
      </c>
      <c r="B56">
        <v>20</v>
      </c>
    </row>
    <row r="57" spans="1:2" x14ac:dyDescent="0.25">
      <c r="A57" t="s">
        <v>239</v>
      </c>
      <c r="B57">
        <v>20</v>
      </c>
    </row>
    <row r="58" spans="1:2" x14ac:dyDescent="0.25">
      <c r="A58" t="s">
        <v>246</v>
      </c>
      <c r="B58">
        <v>10</v>
      </c>
    </row>
    <row r="59" spans="1:2" x14ac:dyDescent="0.25">
      <c r="A59" t="s">
        <v>247</v>
      </c>
      <c r="B59">
        <v>5</v>
      </c>
    </row>
    <row r="60" spans="1:2" x14ac:dyDescent="0.25">
      <c r="A60" t="s">
        <v>248</v>
      </c>
      <c r="B60">
        <v>10</v>
      </c>
    </row>
    <row r="61" spans="1:2" x14ac:dyDescent="0.25">
      <c r="A61" t="s">
        <v>249</v>
      </c>
      <c r="B61">
        <v>5</v>
      </c>
    </row>
    <row r="62" spans="1:2" x14ac:dyDescent="0.25">
      <c r="A62" t="s">
        <v>250</v>
      </c>
      <c r="B62">
        <v>3</v>
      </c>
    </row>
  </sheetData>
  <sortState xmlns:xlrd2="http://schemas.microsoft.com/office/spreadsheetml/2017/richdata2" ref="A4:B26">
    <sortCondition ref="A4:A26"/>
  </sortState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3FE4E-1274-45D0-A7BE-86C01571BD5B}">
  <sheetPr codeName="Sheet16"/>
  <dimension ref="A2:J34"/>
  <sheetViews>
    <sheetView workbookViewId="0">
      <selection activeCell="A30" sqref="A30"/>
    </sheetView>
  </sheetViews>
  <sheetFormatPr defaultRowHeight="15" x14ac:dyDescent="0.25"/>
  <sheetData>
    <row r="2" spans="1:10" x14ac:dyDescent="0.25">
      <c r="A2" t="s">
        <v>47</v>
      </c>
      <c r="B2" t="s">
        <v>46</v>
      </c>
      <c r="C2" t="s">
        <v>66</v>
      </c>
      <c r="D2" t="s">
        <v>1</v>
      </c>
    </row>
    <row r="3" spans="1:10" x14ac:dyDescent="0.25">
      <c r="A3" t="s">
        <v>207</v>
      </c>
      <c r="B3">
        <v>25</v>
      </c>
      <c r="C3">
        <v>3500</v>
      </c>
      <c r="D3" t="s">
        <v>23</v>
      </c>
      <c r="I3">
        <v>3500</v>
      </c>
    </row>
    <row r="5" spans="1:10" x14ac:dyDescent="0.25">
      <c r="A5" t="s">
        <v>130</v>
      </c>
      <c r="B5" t="s">
        <v>5</v>
      </c>
      <c r="C5" t="s">
        <v>6</v>
      </c>
      <c r="D5" t="s">
        <v>50</v>
      </c>
      <c r="E5" t="s">
        <v>7</v>
      </c>
      <c r="F5" t="s">
        <v>120</v>
      </c>
      <c r="G5" t="s">
        <v>4</v>
      </c>
    </row>
    <row r="6" spans="1:10" x14ac:dyDescent="0.25">
      <c r="A6" t="s">
        <v>205</v>
      </c>
      <c r="B6">
        <v>12.3</v>
      </c>
      <c r="C6">
        <v>20</v>
      </c>
      <c r="D6">
        <v>6</v>
      </c>
      <c r="E6">
        <v>30</v>
      </c>
      <c r="F6">
        <v>16</v>
      </c>
      <c r="G6">
        <v>30</v>
      </c>
    </row>
    <row r="8" spans="1:10" x14ac:dyDescent="0.25">
      <c r="A8" t="s">
        <v>59</v>
      </c>
      <c r="B8" t="s">
        <v>63</v>
      </c>
      <c r="C8" t="s">
        <v>62</v>
      </c>
      <c r="D8" t="s">
        <v>54</v>
      </c>
      <c r="E8" t="s">
        <v>64</v>
      </c>
      <c r="F8" t="s">
        <v>65</v>
      </c>
      <c r="I8" t="s">
        <v>122</v>
      </c>
      <c r="J8" t="s">
        <v>60</v>
      </c>
    </row>
    <row r="9" spans="1:10" x14ac:dyDescent="0.25">
      <c r="A9" t="s">
        <v>2</v>
      </c>
      <c r="C9">
        <v>0</v>
      </c>
      <c r="D9">
        <v>0</v>
      </c>
      <c r="E9">
        <v>375</v>
      </c>
      <c r="F9">
        <v>375</v>
      </c>
      <c r="I9" t="s">
        <v>208</v>
      </c>
      <c r="J9">
        <v>200</v>
      </c>
    </row>
    <row r="10" spans="1:10" x14ac:dyDescent="0.25">
      <c r="A10" t="s">
        <v>15</v>
      </c>
      <c r="C10">
        <v>0</v>
      </c>
      <c r="D10">
        <v>0</v>
      </c>
      <c r="E10">
        <v>0</v>
      </c>
      <c r="F10">
        <v>0</v>
      </c>
    </row>
    <row r="11" spans="1:10" x14ac:dyDescent="0.25">
      <c r="A11" t="s">
        <v>16</v>
      </c>
      <c r="C11">
        <v>0</v>
      </c>
      <c r="D11">
        <v>0</v>
      </c>
      <c r="E11">
        <v>56</v>
      </c>
      <c r="F11">
        <v>56</v>
      </c>
    </row>
    <row r="12" spans="1:10" x14ac:dyDescent="0.25">
      <c r="A12" t="s">
        <v>21</v>
      </c>
      <c r="C12">
        <v>100</v>
      </c>
      <c r="D12">
        <v>5.6</v>
      </c>
      <c r="E12">
        <v>0</v>
      </c>
      <c r="F12">
        <v>5.6</v>
      </c>
    </row>
    <row r="13" spans="1:10" x14ac:dyDescent="0.25">
      <c r="A13" t="s">
        <v>22</v>
      </c>
      <c r="C13">
        <v>50</v>
      </c>
      <c r="D13">
        <v>6.3</v>
      </c>
      <c r="E13">
        <v>2.4</v>
      </c>
      <c r="F13">
        <v>8.6999999999999993</v>
      </c>
    </row>
    <row r="14" spans="1:10" x14ac:dyDescent="0.25">
      <c r="A14" t="s">
        <v>9</v>
      </c>
      <c r="C14">
        <v>400</v>
      </c>
      <c r="D14">
        <v>16</v>
      </c>
      <c r="E14">
        <v>0</v>
      </c>
      <c r="F14">
        <v>16</v>
      </c>
    </row>
    <row r="15" spans="1:10" x14ac:dyDescent="0.25">
      <c r="A15" t="s">
        <v>10</v>
      </c>
      <c r="C15">
        <v>200</v>
      </c>
      <c r="D15">
        <v>40</v>
      </c>
      <c r="E15">
        <v>16</v>
      </c>
      <c r="F15">
        <v>56</v>
      </c>
    </row>
    <row r="16" spans="1:10" x14ac:dyDescent="0.25">
      <c r="A16" t="s">
        <v>13</v>
      </c>
      <c r="C16">
        <v>100</v>
      </c>
      <c r="D16">
        <v>8.3000000000000007</v>
      </c>
      <c r="E16">
        <v>24.2</v>
      </c>
      <c r="F16">
        <v>32.5</v>
      </c>
    </row>
    <row r="17" spans="1:6" x14ac:dyDescent="0.25">
      <c r="A17" t="s">
        <v>14</v>
      </c>
      <c r="C17">
        <v>100</v>
      </c>
      <c r="D17">
        <v>25</v>
      </c>
      <c r="E17">
        <v>24.2</v>
      </c>
      <c r="F17">
        <v>49.2</v>
      </c>
    </row>
    <row r="18" spans="1:6" x14ac:dyDescent="0.25">
      <c r="A18" t="s">
        <v>11</v>
      </c>
      <c r="C18">
        <v>100</v>
      </c>
      <c r="D18">
        <v>9.1</v>
      </c>
      <c r="E18">
        <v>12.1</v>
      </c>
      <c r="F18">
        <v>21.2</v>
      </c>
    </row>
    <row r="19" spans="1:6" x14ac:dyDescent="0.25">
      <c r="A19" t="s">
        <v>12</v>
      </c>
      <c r="C19">
        <v>200</v>
      </c>
      <c r="D19">
        <v>50</v>
      </c>
      <c r="E19">
        <v>12.1</v>
      </c>
      <c r="F19">
        <v>62.1</v>
      </c>
    </row>
    <row r="20" spans="1:6" x14ac:dyDescent="0.25">
      <c r="A20" t="s">
        <v>19</v>
      </c>
      <c r="C20">
        <v>50</v>
      </c>
      <c r="D20">
        <v>5</v>
      </c>
      <c r="E20">
        <v>120.8</v>
      </c>
      <c r="F20">
        <v>125.8</v>
      </c>
    </row>
    <row r="21" spans="1:6" x14ac:dyDescent="0.25">
      <c r="A21" t="s">
        <v>20</v>
      </c>
      <c r="C21">
        <v>0</v>
      </c>
      <c r="D21">
        <v>0</v>
      </c>
      <c r="E21">
        <v>72.5</v>
      </c>
      <c r="F21">
        <v>72.5</v>
      </c>
    </row>
    <row r="22" spans="1:6" x14ac:dyDescent="0.25">
      <c r="A22" t="s">
        <v>17</v>
      </c>
      <c r="C22">
        <v>50</v>
      </c>
      <c r="D22">
        <v>3.3</v>
      </c>
      <c r="E22">
        <v>28</v>
      </c>
      <c r="F22">
        <v>31.3</v>
      </c>
    </row>
    <row r="23" spans="1:6" x14ac:dyDescent="0.25">
      <c r="A23" t="s">
        <v>18</v>
      </c>
      <c r="C23">
        <v>100</v>
      </c>
      <c r="D23">
        <v>2</v>
      </c>
      <c r="E23">
        <v>1.2</v>
      </c>
      <c r="F23">
        <v>3.2</v>
      </c>
    </row>
    <row r="24" spans="1:6" x14ac:dyDescent="0.25">
      <c r="A24" t="s">
        <v>211</v>
      </c>
      <c r="B24" t="s">
        <v>67</v>
      </c>
      <c r="C24">
        <v>0</v>
      </c>
      <c r="D24">
        <v>0</v>
      </c>
      <c r="F24">
        <v>0</v>
      </c>
    </row>
    <row r="25" spans="1:6" x14ac:dyDescent="0.25">
      <c r="A25" t="s">
        <v>212</v>
      </c>
      <c r="B25" t="s">
        <v>67</v>
      </c>
      <c r="C25">
        <v>0</v>
      </c>
      <c r="D25">
        <v>0</v>
      </c>
      <c r="F25">
        <v>0</v>
      </c>
    </row>
    <row r="26" spans="1:6" x14ac:dyDescent="0.25">
      <c r="A26" t="s">
        <v>211</v>
      </c>
      <c r="B26" t="s">
        <v>68</v>
      </c>
      <c r="C26">
        <v>100</v>
      </c>
      <c r="D26">
        <v>4.5</v>
      </c>
      <c r="F26">
        <v>4.5</v>
      </c>
    </row>
    <row r="27" spans="1:6" x14ac:dyDescent="0.25">
      <c r="A27" t="s">
        <v>212</v>
      </c>
      <c r="B27" t="s">
        <v>68</v>
      </c>
      <c r="C27">
        <v>100</v>
      </c>
      <c r="D27">
        <v>11.1</v>
      </c>
      <c r="E27">
        <v>20</v>
      </c>
      <c r="F27">
        <v>31.1</v>
      </c>
    </row>
    <row r="28" spans="1:6" x14ac:dyDescent="0.25">
      <c r="A28" t="s">
        <v>213</v>
      </c>
      <c r="B28" t="s">
        <v>68</v>
      </c>
      <c r="C28">
        <v>100</v>
      </c>
      <c r="D28">
        <v>20</v>
      </c>
      <c r="F28">
        <v>20</v>
      </c>
    </row>
    <row r="29" spans="1:6" x14ac:dyDescent="0.25">
      <c r="A29" t="s">
        <v>214</v>
      </c>
      <c r="B29" t="s">
        <v>68</v>
      </c>
      <c r="C29">
        <v>100</v>
      </c>
      <c r="D29">
        <v>0.5</v>
      </c>
      <c r="E29">
        <v>1</v>
      </c>
      <c r="F29">
        <v>1.5</v>
      </c>
    </row>
    <row r="30" spans="1:6" x14ac:dyDescent="0.25">
      <c r="A30" t="s">
        <v>5</v>
      </c>
      <c r="B30" t="s">
        <v>205</v>
      </c>
      <c r="C30">
        <v>50</v>
      </c>
      <c r="D30">
        <v>2.2999999999999998</v>
      </c>
      <c r="F30">
        <v>2.2999999999999998</v>
      </c>
    </row>
    <row r="31" spans="1:6" x14ac:dyDescent="0.25">
      <c r="A31" t="s">
        <v>6</v>
      </c>
      <c r="B31" t="s">
        <v>205</v>
      </c>
      <c r="C31">
        <v>300</v>
      </c>
      <c r="D31">
        <v>33.299999999999997</v>
      </c>
      <c r="F31">
        <v>33.299999999999997</v>
      </c>
    </row>
    <row r="32" spans="1:6" x14ac:dyDescent="0.25">
      <c r="A32" t="s">
        <v>7</v>
      </c>
      <c r="B32" t="s">
        <v>205</v>
      </c>
      <c r="C32">
        <v>500</v>
      </c>
      <c r="D32">
        <v>100</v>
      </c>
      <c r="F32">
        <v>100</v>
      </c>
    </row>
    <row r="33" spans="1:6" x14ac:dyDescent="0.25">
      <c r="A33" t="s">
        <v>120</v>
      </c>
      <c r="B33" t="s">
        <v>205</v>
      </c>
      <c r="C33">
        <v>500</v>
      </c>
      <c r="D33">
        <v>2.5</v>
      </c>
      <c r="E33">
        <v>1</v>
      </c>
      <c r="F33">
        <v>3.5</v>
      </c>
    </row>
    <row r="34" spans="1:6" x14ac:dyDescent="0.25">
      <c r="A34" t="s">
        <v>209</v>
      </c>
      <c r="C34">
        <v>100</v>
      </c>
      <c r="D34">
        <v>6.7</v>
      </c>
      <c r="F34">
        <v>6.7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187</v>
      </c>
      <c r="B8" s="4">
        <v>45631</v>
      </c>
      <c r="C8" t="s">
        <v>188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Raccoon</vt:lpstr>
      <vt:lpstr>Mudrich</vt:lpstr>
      <vt:lpstr>Cat Soldier</vt:lpstr>
      <vt:lpstr>Weapons</vt:lpstr>
      <vt:lpstr>Features</vt:lpstr>
      <vt:lpstr>Features (Species)</vt:lpstr>
      <vt:lpstr>STAT COSTS</vt:lpstr>
      <vt:lpstr>Fang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2024-12-10T09:18:19Z</dcterms:modified>
</cp:coreProperties>
</file>
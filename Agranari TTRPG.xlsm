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69720A23-2AAC-42FC-BA8B-B237918D64D9}" xr6:coauthVersionLast="47" xr6:coauthVersionMax="47" xr10:uidLastSave="{00000000-0000-0000-0000-000000000000}"/>
  <bookViews>
    <workbookView xWindow="12630" yWindow="0" windowWidth="2907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5" l="1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F8" i="18" l="1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11" i="5" l="1"/>
  <c r="I7" i="5"/>
  <c r="H8" i="5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<sst xmlns="http://schemas.openxmlformats.org/spreadsheetml/2006/main" count="643" uniqueCount="193">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</sst>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</cellXfs>
  <cellStyles count="1">
    <cellStyle name="Normal" xfId="0" builtinId="0"/>
  </cellStyles>
  <dxfs count="5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183573</xdr:rowOff>
        </xdr:from>
        <xdr:to>
          <xdr:col>6</xdr:col>
          <xdr:colOff>190500</xdr:colOff>
          <xdr:row>4</xdr:row>
          <xdr:rowOff>174048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109969</xdr:colOff>
          <xdr:row>6</xdr:row>
          <xdr:rowOff>64944</xdr:rowOff>
        </xdr:from>
        <xdr:to>
          <xdr:col>10</xdr:col>
          <xdr:colOff>695324</xdr:colOff>
          <xdr:row>8</xdr:row>
          <xdr:rowOff>121227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146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143</v>
      </c>
      <c r="D3" s="1" t="s">
        <v>64</v>
      </c>
      <c r="E3" s="1" t="s">
        <v>141</v>
      </c>
      <c r="F3" s="1" t="s">
        <v>142</v>
      </c>
      <c r="G3" s="1" t="s">
        <v>144</v>
      </c>
      <c r="K3" s="1" t="s">
        <v>145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zoomScale="110" zoomScaleNormal="110" workbookViewId="0">
      <selection activeCell="A2" sqref="A2:X19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138</v>
      </c>
      <c r="N3" s="1" t="s">
        <v>128</v>
      </c>
      <c r="O3" s="1" t="s">
        <v>129</v>
      </c>
      <c r="P3" s="1" t="s">
        <v>50</v>
      </c>
      <c r="Q3" s="1" t="s">
        <v>139</v>
      </c>
      <c r="R3" s="1" t="s">
        <v>140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136</v>
      </c>
      <c r="G4" s="7" t="s">
        <v>189</v>
      </c>
      <c r="H4" s="7" t="s">
        <v>127</v>
      </c>
      <c r="I4" s="7" t="s">
        <v>54</v>
      </c>
      <c r="J4" s="2"/>
      <c r="K4" s="2"/>
      <c r="M4" s="11">
        <v>1</v>
      </c>
      <c r="N4" t="s">
        <v>156</v>
      </c>
      <c r="O4" t="s">
        <v>192</v>
      </c>
      <c r="P4" s="8">
        <v>0</v>
      </c>
      <c r="Q4" s="14">
        <v>1</v>
      </c>
      <c r="R4" s="14">
        <v>1</v>
      </c>
      <c r="T4" t="s">
        <v>156</v>
      </c>
      <c r="U4" t="s">
        <v>171</v>
      </c>
      <c r="V4" t="s">
        <v>174</v>
      </c>
      <c r="W4" t="s">
        <v>21</v>
      </c>
      <c r="X4" s="8">
        <v>4.4159660180409759</v>
      </c>
    </row>
    <row r="5" spans="1:24" x14ac:dyDescent="0.25">
      <c r="A5" s="15" t="str">
        <f>LOOKUP(MAX(M:M),M:M,N:N)</f>
        <v>1 Mudrich</v>
      </c>
      <c r="B5" s="10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/>
      <c r="E5" s="5">
        <v>26.453222831090294</v>
      </c>
      <c r="F5" s="19"/>
      <c r="G5" s="5" cm="1">
        <f t="array" aca="1" ref="G5" ca="1">F5*MAX(0,INDIRECT("'"&amp;LOOKUP($A5,$A$18:$A$27,$B$18:$B$27)&amp;"'!F23")-SUMIFS(X:X,T:T,$A5,W:W,"Willpower Factor"))</f>
        <v>0</v>
      </c>
      <c r="H5" s="5">
        <v>1</v>
      </c>
      <c r="I5" s="12">
        <f ca="1">SUM(C5:E5,G5)*H5</f>
        <v>34.18049555836302</v>
      </c>
      <c r="J5" s="3"/>
      <c r="K5" s="2"/>
      <c r="M5" s="11">
        <v>1.1000000000000001</v>
      </c>
      <c r="N5" t="s">
        <v>192</v>
      </c>
      <c r="O5" t="s">
        <v>156</v>
      </c>
      <c r="P5" s="8">
        <v>0</v>
      </c>
      <c r="Q5" s="14">
        <v>11</v>
      </c>
      <c r="R5" s="14">
        <v>1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2</v>
      </c>
      <c r="N6" t="s">
        <v>192</v>
      </c>
      <c r="O6" t="s">
        <v>156</v>
      </c>
      <c r="P6" s="8">
        <v>0</v>
      </c>
      <c r="Q6" s="14">
        <v>2</v>
      </c>
      <c r="R6" s="14">
        <v>2</v>
      </c>
      <c r="T6">
        <v>0</v>
      </c>
    </row>
    <row r="7" spans="1:24" x14ac:dyDescent="0.25">
      <c r="A7" s="15" t="str">
        <f>LOOKUP(MAX(M:M),M:M,O:O)</f>
        <v>0 Wryonin</v>
      </c>
      <c r="B7" s="10" t="s">
        <v>9</v>
      </c>
      <c r="C7" s="5" cm="1">
        <f t="array" aca="1" ref="C7" ca="1">INDIRECT("'"&amp;LOOKUP($A7,$A$18:$A$27,$B$18:$B$27)&amp;"'!F14")-SUMIFS(X:X,T:T,$A7,W:W,B7)</f>
        <v>0.8</v>
      </c>
      <c r="D7" s="6"/>
      <c r="E7" s="5">
        <v>30.866805553436279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31.66680555343628</v>
      </c>
      <c r="J7" s="3"/>
      <c r="K7" s="2"/>
      <c r="M7" s="11">
        <v>3</v>
      </c>
      <c r="N7" t="s">
        <v>156</v>
      </c>
      <c r="O7" t="s">
        <v>192</v>
      </c>
      <c r="P7" s="8">
        <v>34.182987610499062</v>
      </c>
      <c r="Q7" s="14">
        <v>1</v>
      </c>
      <c r="R7" s="14">
        <v>13</v>
      </c>
    </row>
    <row r="8" spans="1:24" x14ac:dyDescent="0.25">
      <c r="A8" s="2" t="str">
        <f>A5</f>
        <v>1 Mudrich</v>
      </c>
      <c r="B8" s="10" t="s">
        <v>50</v>
      </c>
      <c r="C8" s="5" cm="1">
        <f t="array" aca="1" ref="C8" ca="1">INDIRECT("'"&amp;LOOKUP($A8,$A$18:$A$27,$B$18:$B$27)&amp;"'!D6")-SUMIFS(X:X,T:T,$A8,W:W,B8)</f>
        <v>50</v>
      </c>
      <c r="D8" s="6"/>
      <c r="E8" s="5">
        <v>2.6082723140716553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52.608272314071655</v>
      </c>
      <c r="J8" s="3"/>
      <c r="K8" s="2"/>
      <c r="M8" s="11">
        <v>4</v>
      </c>
      <c r="N8" t="s">
        <v>192</v>
      </c>
      <c r="O8" t="s">
        <v>156</v>
      </c>
      <c r="P8" s="8">
        <v>51.062067846457168</v>
      </c>
      <c r="Q8" s="14">
        <v>1</v>
      </c>
      <c r="R8" s="14">
        <v>22</v>
      </c>
    </row>
    <row r="9" spans="1:24" x14ac:dyDescent="0.25">
      <c r="A9" s="2" t="str">
        <f>A7</f>
        <v>0 Wryonin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0.83333333333333337</v>
      </c>
      <c r="I9" s="13">
        <f ca="1">IF(I5&gt;I7,I8*(H9),0)</f>
        <v>43.840226928393051</v>
      </c>
      <c r="J9" s="3" t="str">
        <f ca="1">IF(I5&gt;I7*2, "CRIT!",IF(I5&gt;I7,"HIT","miss"))</f>
        <v>HIT</v>
      </c>
      <c r="K9" s="2"/>
      <c r="M9" s="11">
        <v>5</v>
      </c>
      <c r="N9" t="s">
        <v>192</v>
      </c>
      <c r="O9" t="s">
        <v>156</v>
      </c>
      <c r="P9" s="8">
        <v>51.148905555407211</v>
      </c>
      <c r="Q9" s="14">
        <v>0</v>
      </c>
      <c r="R9" s="14">
        <v>1</v>
      </c>
    </row>
    <row r="10" spans="1:24" x14ac:dyDescent="0.25">
      <c r="A10" s="2" t="str">
        <f>A7</f>
        <v>0 Wryonin</v>
      </c>
      <c r="B10" s="10" t="s">
        <v>13</v>
      </c>
      <c r="C10" s="5" cm="1">
        <f t="array" aca="1" ref="C10" ca="1">MAX(0,INDIRECT("'"&amp;LOOKUP($A10,$A$18:$A$27,$B$18:$B$27)&amp;"'!F16")-SUMIFS(X:X,T:T,$A10,W:W,B10))</f>
        <v>24.983333333333334</v>
      </c>
      <c r="D10" s="6"/>
      <c r="E10" s="5">
        <v>14.440927577018739</v>
      </c>
      <c r="F10" s="19"/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2">
        <f ca="1">SUM(C10:E10,G10)*H10</f>
        <v>39.424260910352075</v>
      </c>
      <c r="J10" s="3" t="str">
        <f ca="1">IF(I9&gt;I10,"WOUNDED","")</f>
        <v>WOUNDED</v>
      </c>
      <c r="K10" s="2"/>
      <c r="M10" s="11">
        <v>6</v>
      </c>
      <c r="N10" t="s">
        <v>192</v>
      </c>
      <c r="O10" t="s">
        <v>156</v>
      </c>
      <c r="P10" s="8">
        <v>0</v>
      </c>
      <c r="Q10" s="14">
        <v>0</v>
      </c>
      <c r="R10" s="14">
        <v>0</v>
      </c>
    </row>
    <row r="11" spans="1:24" x14ac:dyDescent="0.25">
      <c r="A11" s="2" t="str">
        <f>A7</f>
        <v>0 Wryonin</v>
      </c>
      <c r="B11" s="10" t="s">
        <v>11</v>
      </c>
      <c r="C11" s="5" cm="1">
        <f t="array" aca="1" ref="C11" ca="1">MAX(0,INDIRECT("'"&amp;LOOKUP($A11,$A$18:$A$27,$B$18:$B$27)&amp;"'!F18")-SUMIFS(X:X,T:T,$A11,W:W,B11))</f>
        <v>13.893181818181819</v>
      </c>
      <c r="D11" s="6"/>
      <c r="E11" s="5">
        <v>8.1309923484921462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22.024174166673966</v>
      </c>
      <c r="J11" s="3" t="str">
        <f ca="1">IF(I9&gt;I11,"WINCED","")</f>
        <v>WINCED</v>
      </c>
      <c r="K11" s="2"/>
      <c r="M11" s="11">
        <v>7</v>
      </c>
      <c r="N11" t="s">
        <v>156</v>
      </c>
    </row>
    <row r="12" spans="1:24" x14ac:dyDescent="0.25">
      <c r="A12" s="2" t="str">
        <f>A7</f>
        <v>0 Wryonin</v>
      </c>
      <c r="B12" s="10" t="s">
        <v>19</v>
      </c>
      <c r="C12" s="5" cm="1">
        <f t="array" aca="1" ref="C12" ca="1">MAX(0,INDIRECT("'"&amp;LOOKUP($A12,$A$18:$A$27,$B$18:$B$27)&amp;"'!F20")-SUMIFS(X:X,T:T,$A12,W:W,B12))</f>
        <v>123.75</v>
      </c>
      <c r="D12" s="6"/>
      <c r="E12" s="5">
        <v>6.4162985622882847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130.16629856228829</v>
      </c>
      <c r="J12" s="3" t="str">
        <f ca="1">IF(SUMIF(A18:A27,A12,F18:F27)-SUMIF(A18:A27,A12,E18:E27)&gt;I12,"UNCONSCIOUS","")</f>
        <v>UNCONSCIOUS</v>
      </c>
      <c r="K12" s="2"/>
      <c r="M12" s="11">
        <v>7.1</v>
      </c>
      <c r="N12" t="s">
        <v>192</v>
      </c>
      <c r="O12" t="s">
        <v>156</v>
      </c>
      <c r="P12" s="8">
        <v>0</v>
      </c>
      <c r="Q12" s="14">
        <v>0</v>
      </c>
      <c r="R12" s="14">
        <v>0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11">
        <v>8</v>
      </c>
      <c r="N13" t="s">
        <v>156</v>
      </c>
      <c r="O13" t="s">
        <v>192</v>
      </c>
      <c r="P13" s="8">
        <v>38.284235397974648</v>
      </c>
      <c r="Q13" s="14">
        <v>0</v>
      </c>
      <c r="R13" s="14">
        <v>0</v>
      </c>
    </row>
    <row r="14" spans="1:24" x14ac:dyDescent="0.25">
      <c r="M14" s="11">
        <v>9</v>
      </c>
      <c r="N14" t="s">
        <v>192</v>
      </c>
      <c r="O14" t="s">
        <v>156</v>
      </c>
      <c r="P14" s="8">
        <v>43.840226928393051</v>
      </c>
      <c r="Q14" s="14">
        <v>0</v>
      </c>
      <c r="R14" s="14">
        <v>0</v>
      </c>
    </row>
    <row r="17" spans="1:12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136</v>
      </c>
      <c r="H17" s="1" t="s">
        <v>137</v>
      </c>
      <c r="I17" s="1" t="s">
        <v>135</v>
      </c>
      <c r="J17" s="1" t="s">
        <v>147</v>
      </c>
      <c r="K17" s="9"/>
      <c r="L17" s="9"/>
    </row>
    <row r="18" spans="1:12" x14ac:dyDescent="0.25">
      <c r="A18" t="s">
        <v>156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95.448799669742584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0.66666666666666785</v>
      </c>
      <c r="H18" s="8" cm="1">
        <f t="array" aca="1" ref="H18" ca="1">INDIRECT("'"&amp;$B18&amp;"'!F22")</f>
        <v>28.666666666666668</v>
      </c>
      <c r="I18" s="8"/>
      <c r="J18">
        <v>0</v>
      </c>
    </row>
    <row r="19" spans="1:12" x14ac:dyDescent="0.25">
      <c r="A19" t="s">
        <v>192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167.5327769915263</v>
      </c>
      <c r="F19" s="8" cm="1">
        <f t="array" aca="1" ref="F19" ca="1">INDIRECT("'"&amp;$B19&amp;"'!F9")</f>
        <v>240</v>
      </c>
      <c r="G19" s="8">
        <f t="shared" ca="1" si="1"/>
        <v>0</v>
      </c>
      <c r="H19" s="8" cm="1">
        <f t="array" aca="1" ref="H19" ca="1">INDIRECT("'"&amp;$B19&amp;"'!F22")</f>
        <v>28</v>
      </c>
      <c r="I19" s="8"/>
      <c r="J19" s="8">
        <v>0</v>
      </c>
      <c r="K19" s="8"/>
      <c r="L19" s="8"/>
    </row>
    <row r="20" spans="1:12" x14ac:dyDescent="0.25">
      <c r="A20" t="s">
        <v>148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/>
      <c r="J20" s="8"/>
      <c r="K20" s="8"/>
      <c r="L20" s="8"/>
    </row>
    <row r="21" spans="1:12" x14ac:dyDescent="0.25">
      <c r="A21" t="s">
        <v>149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/>
      <c r="J21" s="8"/>
      <c r="K21" s="8"/>
      <c r="L21" s="8"/>
    </row>
    <row r="22" spans="1:12" x14ac:dyDescent="0.25">
      <c r="A22" t="s">
        <v>150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/>
      <c r="J22" s="8"/>
      <c r="K22" s="8"/>
      <c r="L22" s="8"/>
    </row>
    <row r="23" spans="1:12" x14ac:dyDescent="0.25">
      <c r="A23" t="s">
        <v>151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/>
      <c r="J23" s="8"/>
      <c r="K23" s="8"/>
      <c r="L23" s="8"/>
    </row>
    <row r="24" spans="1:12" x14ac:dyDescent="0.25">
      <c r="A24" t="s">
        <v>152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/>
      <c r="J24" s="8"/>
      <c r="K24" s="8"/>
      <c r="L24" s="8"/>
    </row>
    <row r="25" spans="1:12" x14ac:dyDescent="0.25">
      <c r="A25" t="s">
        <v>153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/>
      <c r="J25" s="8"/>
      <c r="K25" s="8"/>
      <c r="L25" s="8"/>
    </row>
    <row r="26" spans="1:12" x14ac:dyDescent="0.25">
      <c r="A26" t="s">
        <v>154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/>
      <c r="J26" s="8"/>
      <c r="K26" s="8"/>
      <c r="L26" s="8"/>
    </row>
    <row r="27" spans="1:12" x14ac:dyDescent="0.25">
      <c r="A27" t="s">
        <v>155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/>
      <c r="J27" s="8"/>
      <c r="K27" s="8"/>
      <c r="L27" s="8"/>
    </row>
    <row r="28" spans="1:12" x14ac:dyDescent="0.25">
      <c r="J28" s="8">
        <f t="shared" ref="J22:J28" si="2">(MAX(0,100-(MAX(M:M)-0-7)*1.9))</f>
        <v>96.2</v>
      </c>
    </row>
    <row r="29" spans="1:12" hidden="1" x14ac:dyDescent="0.25"/>
    <row r="30" spans="1:12" hidden="1" x14ac:dyDescent="0.25"/>
    <row r="31" spans="1:12" hidden="1" x14ac:dyDescent="0.25"/>
    <row r="32" spans="1:1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spans="13:18" hidden="1" x14ac:dyDescent="0.25"/>
    <row r="50" spans="13:18" hidden="1" x14ac:dyDescent="0.25"/>
    <row r="51" spans="13:18" hidden="1" x14ac:dyDescent="0.25"/>
    <row r="52" spans="13:18" hidden="1" x14ac:dyDescent="0.25"/>
    <row r="53" spans="13:18" hidden="1" x14ac:dyDescent="0.25">
      <c r="M53" s="23"/>
      <c r="N53" s="24"/>
      <c r="O53" s="24"/>
      <c r="P53" s="25"/>
      <c r="Q53" s="26"/>
      <c r="R53" s="27"/>
    </row>
    <row r="54" spans="13:18" hidden="1" x14ac:dyDescent="0.25"/>
    <row r="55" spans="13:18" hidden="1" x14ac:dyDescent="0.25"/>
    <row r="56" spans="13:18" hidden="1" x14ac:dyDescent="0.25"/>
    <row r="57" spans="13:18" hidden="1" x14ac:dyDescent="0.25"/>
    <row r="58" spans="13:18" hidden="1" x14ac:dyDescent="0.25"/>
    <row r="59" spans="13:18" hidden="1" x14ac:dyDescent="0.25"/>
    <row r="60" spans="13:18" hidden="1" x14ac:dyDescent="0.25"/>
    <row r="61" spans="13:18" hidden="1" x14ac:dyDescent="0.25"/>
    <row r="62" spans="13:18" hidden="1" x14ac:dyDescent="0.25"/>
    <row r="63" spans="13:18" hidden="1" x14ac:dyDescent="0.25"/>
    <row r="64" spans="13:18" hidden="1" x14ac:dyDescent="0.25"/>
    <row r="65" spans="17:18" hidden="1" x14ac:dyDescent="0.25"/>
    <row r="66" spans="17:18" hidden="1" x14ac:dyDescent="0.25"/>
    <row r="67" spans="17:18" hidden="1" x14ac:dyDescent="0.25">
      <c r="Q67"/>
      <c r="R67"/>
    </row>
    <row r="68" spans="17:18" hidden="1" x14ac:dyDescent="0.25"/>
    <row r="69" spans="17:18" hidden="1" x14ac:dyDescent="0.25"/>
    <row r="70" spans="17:18" hidden="1" x14ac:dyDescent="0.25"/>
    <row r="71" spans="17:18" hidden="1" x14ac:dyDescent="0.25"/>
    <row r="72" spans="17:18" hidden="1" x14ac:dyDescent="0.25"/>
    <row r="73" spans="17:18" hidden="1" x14ac:dyDescent="0.25"/>
    <row r="74" spans="17:18" hidden="1" x14ac:dyDescent="0.25"/>
    <row r="75" spans="17:18" hidden="1" x14ac:dyDescent="0.25"/>
    <row r="76" spans="17:18" hidden="1" x14ac:dyDescent="0.25"/>
    <row r="77" spans="17:18" hidden="1" x14ac:dyDescent="0.25"/>
    <row r="78" spans="17:18" hidden="1" x14ac:dyDescent="0.25"/>
    <row r="79" spans="17:18" hidden="1" x14ac:dyDescent="0.25"/>
    <row r="80" spans="17:18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spans="17:18" hidden="1" x14ac:dyDescent="0.25"/>
    <row r="98" spans="17:18" hidden="1" x14ac:dyDescent="0.25"/>
    <row r="109" spans="17:18" x14ac:dyDescent="0.25">
      <c r="Q109"/>
      <c r="R109"/>
    </row>
  </sheetData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1048576">
    <cfRule type="cellIs" dxfId="0" priority="1" operator="equal">
      <formula>0</formula>
    </cfRule>
  </conditionalFormatting>
  <dataValidations count="1">
    <dataValidation type="list" allowBlank="1" showInputMessage="1" showErrorMessage="1" sqref="T7:T1048576 T4:T5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2529.0595308738903</v>
      </c>
      <c r="B1">
        <f ca="1">SUMIFS(G:G,E:E,"&gt;="&amp;A1,F:F,"&lt;"&amp;A1)</f>
        <v>19</v>
      </c>
      <c r="E1"/>
    </row>
    <row r="3" spans="1:7" x14ac:dyDescent="0.25">
      <c r="A3" t="str">
        <f ca="1">LOOKUP($B$1,$G:$G,A:A)</f>
        <v>Upper Leg</v>
      </c>
      <c r="B3" t="str">
        <f ca="1">LOOKUP($B$1,$G:$G,B:B)</f>
        <v>Left</v>
      </c>
      <c r="C3" t="str">
        <f ca="1">LOOKUP($B$1,$G:$G,C:C)</f>
        <v>Constitution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C25" sqref="C25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4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H12" sqref="H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 t="shared" ref="C6:E6" si="0">SUMIFS($F:$F,$A:$A,C$5,$B:$B,$A$6)</f>
        <v>33.333333333333336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190</v>
      </c>
      <c r="C25">
        <v>300</v>
      </c>
      <c r="D25" s="8">
        <f>$C25/LOOKUP($A25,'STAT COSTS'!$A:$A,'STAT COSTS'!$B:$B)</f>
        <v>33.333333333333336</v>
      </c>
      <c r="F25" s="8">
        <f t="shared" si="1"/>
        <v>33.333333333333336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0.3</v>
      </c>
      <c r="E28" s="8">
        <v>0.1</v>
      </c>
      <c r="F28" s="11">
        <f t="shared" si="1"/>
        <v>0.4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H12" sqref="H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2" priority="2" operator="equal">
      <formula>0</formula>
    </cfRule>
  </conditionalFormatting>
  <conditionalFormatting sqref="E10:E23">
    <cfRule type="cellIs" dxfId="1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C14" sqref="C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191</v>
      </c>
      <c r="B14">
        <v>500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2024-12-07T07:38:44Z</dcterms:modified>
</cp:coreProperties>
</file>
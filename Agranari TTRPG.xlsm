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7835DB33-03E0-456A-9884-5D46C1B7E767}" xr6:coauthVersionLast="47" xr6:coauthVersionMax="47" xr10:uidLastSave="{00000000-0000-0000-0000-000000000000}"/>
  <bookViews>
    <workbookView xWindow="5640" yWindow="0" windowWidth="30240" windowHeight="20985" tabRatio="809" firstSheet="2" activeTab="12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Fang" sheetId="20" r:id="rId14"/>
    <sheet name="Sources" sheetId="4" r:id="rId15"/>
    <sheet name="Changelog" sheetId="10" r:id="rId16"/>
  </sheets>
  <definedNames>
    <definedName name="_xleta.IF" hidden="1" xlm="1">#NAME?</definedName>
    <definedName name="_xleta.N" hidden="1" xlm="1">#NAME?</definedName>
    <definedName name="_xleta.R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14" l="1"/>
  <c r="H12" i="14"/>
  <c r="C31" i="5"/>
  <c r="E85" i="5"/>
  <c r="C85" i="5"/>
  <c r="D29" i="19"/>
  <c r="F29" i="19" s="1"/>
  <c r="D30" i="19"/>
  <c r="F30" i="19" s="1"/>
  <c r="G85" i="5" l="1"/>
  <c r="J28" i="5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F6" i="19" s="1"/>
  <c r="D26" i="19"/>
  <c r="F26" i="19" s="1"/>
  <c r="E6" i="19" s="1"/>
  <c r="D25" i="19"/>
  <c r="F25" i="19" s="1"/>
  <c r="C6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D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9" i="19" l="1"/>
  <c r="F19" i="19" s="1"/>
  <c r="E13" i="19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6" i="5" a="1"/>
  <c r="D21" i="5" a="1"/>
  <c r="C25" i="5" a="1"/>
  <c r="D22" i="5" a="1"/>
  <c r="D19" i="5" a="1"/>
  <c r="D23" i="5" a="1"/>
  <c r="D24" i="5" a="1"/>
  <c r="D26" i="5" a="1"/>
  <c r="C26" i="5" a="1"/>
  <c r="C24" i="5" a="1"/>
  <c r="D18" i="5" a="1"/>
  <c r="C22" i="5" a="1"/>
  <c r="C27" i="5" a="1"/>
  <c r="D25" i="5" a="1"/>
  <c r="C20" i="5" a="1"/>
  <c r="C19" i="5" a="1"/>
  <c r="C18" i="5" a="1"/>
  <c r="D27" i="5" a="1"/>
  <c r="C21" i="5" a="1"/>
  <c r="C23" i="5" a="1"/>
  <c r="D20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H9" i="5" a="1"/>
  <c r="C5" i="5" a="1"/>
  <c r="C8" i="5" a="1"/>
  <c r="C5" i="5" l="1"/>
  <c r="B85" i="5" s="1"/>
  <c r="C8" i="5"/>
  <c r="H9" i="5"/>
  <c r="I6" i="5"/>
  <c r="F9" i="14"/>
  <c r="F24" i="5" a="1"/>
  <c r="F27" i="5" a="1"/>
  <c r="F20" i="5" a="1"/>
  <c r="F23" i="5" a="1"/>
  <c r="F25" i="5" a="1"/>
  <c r="F22" i="5" a="1"/>
  <c r="F26" i="5" a="1"/>
  <c r="F21" i="5" a="1"/>
  <c r="F19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11" i="5" a="1"/>
  <c r="H27" i="5" a="1"/>
  <c r="H22" i="5" a="1"/>
  <c r="H23" i="5" a="1"/>
  <c r="G7" i="5" a="1"/>
  <c r="H25" i="5" a="1"/>
  <c r="G10" i="5" a="1"/>
  <c r="H26" i="5" a="1"/>
  <c r="C7" i="5" a="1"/>
  <c r="H21" i="5" a="1"/>
  <c r="H24" i="5" a="1"/>
  <c r="G9" i="5" a="1"/>
  <c r="G11" i="5" a="1"/>
  <c r="C10" i="5" a="1"/>
  <c r="H19" i="5" a="1"/>
  <c r="G12" i="5" a="1"/>
  <c r="H20" i="5" a="1"/>
  <c r="C7" i="5" l="1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D85" i="5" l="1"/>
  <c r="I11" i="5"/>
  <c r="I7" i="5"/>
  <c r="F85" i="5" l="1"/>
  <c r="J85" i="5" s="1"/>
  <c r="H85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G5" i="5" a="1"/>
  <c r="G8" i="5" a="1"/>
  <c r="H18" i="5" a="1"/>
  <c r="C12" i="5" a="1"/>
  <c r="G8" i="5" l="1"/>
  <c r="G5" i="5"/>
  <c r="I5" i="5" s="1"/>
  <c r="H18" i="5"/>
  <c r="G18" i="5" s="1"/>
  <c r="C12" i="5"/>
  <c r="B3" i="18"/>
  <c r="A3" i="18"/>
  <c r="H8" i="5" a="1"/>
  <c r="H8" i="5" l="1"/>
  <c r="I8" i="5" s="1"/>
  <c r="I9" i="5" s="1"/>
  <c r="J10" i="5" s="1"/>
  <c r="J9" i="5"/>
  <c r="I12" i="5"/>
  <c r="J11" i="5" l="1"/>
  <c r="J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<sst xmlns="http://schemas.openxmlformats.org/spreadsheetml/2006/main" count="832" uniqueCount="222">
  <si>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</si>
  <si>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</si>
  <si>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</si>
  <si>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</si>
  <si>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</si>
  <si>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</si>
  <si>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</si>
  <si>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</si>
  <si>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</si>
  <si>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</si>
  <si>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</si>
  <si>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</si>
  <si>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</si>
  <si>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</si>
  <si>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</si>
  <si>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</si>
  <si>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</si>
  <si>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</si>
  <si>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</si>
  <si>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</si>
  <si>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</si>
  <si>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</si>
  <si>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</si>
  <si>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</si>
  <si>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</si>
  <si>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</si>
  <si>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</si>
  <si>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</si>
  <si>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</si>
  <si>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</si>
  <si>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</si>
  <si>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</si>
  <si>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</si>
  <si>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</si>
  <si>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</si>
  <si>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</si>
  <si>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</si>
  <si>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</si>
  <si>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</si>
  <si>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</si>
  <si>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</si>
  <si>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</si>
  <si>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</si>
  <si>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</si>
  <si>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</si>
  <si>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</si>
  <si>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</si>
  <si>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</si>
  <si>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</si>
  <si>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</si>
  <si>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</si>
  <si>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</si>
  <si>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</si>
  <si>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</si>
  <si>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</si>
  <si>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</si>
  <si>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</si>
  <si>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</si>
  <si>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</si>
  <si>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</si>
  <si>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</si>
  <si>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</si>
  <si>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</si>
  <si>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</si>
  <si>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</si>
  <si>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</si>
  <si>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</si>
  <si>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</si>
  <si>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</si>
  <si>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</si>
  <si>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</si>
  <si>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</si>
  <si>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</si>
  <si>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</si>
  <si>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</si>
  <si>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</si>
  <si>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</si>
  <si>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</si>
  <si>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</si>
  <si>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</si>
  <si>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</si>
  <si>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</si>
  <si>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</si>
  <si>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</si>
  <si>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</si>
  <si>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</si>
  <si>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</si>
  <si>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</si>
  <si>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</si>
  <si>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</si>
  <si>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</si>
  <si>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</si>
  <si>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</si>
  <si>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</si>
  <si>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</si>
  <si>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</si>
  <si>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</si>
  <si>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</si>
  <si>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</si>
  <si>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</si>
  <si>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</si>
  <si>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</si>
  <si>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</si>
  <si>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</si>
  <si>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</si>
  <si>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</si>
  <si>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</si>
  <si>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</si>
  <si>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</si>
  <si>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</si>
  <si>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</si>
  <si>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</si>
  <si>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</si>
  <si>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</si>
  <si>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</si>
  <si>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</si>
  <si>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</si>
  <si>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</si>
  <si>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</si>
  <si>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</si>
  <si>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</si>
  <si>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</si>
  <si>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</si>
  <si>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</si>
  <si>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</si>
  <si>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</si>
  <si>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</si>
  <si>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</si>
  <si>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</si>
  <si>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</si>
  <si>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</si>
  <si>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</si>
  <si>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</si>
  <si>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</si>
  <si>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</si>
  <si>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</si>
  <si>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</si>
  <si>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</si>
  <si>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</si>
  <si>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</si>
  <si>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</si>
  <si>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</si>
  <si>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</si>
  <si>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</si>
  <si>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</si>
  <si>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</si>
  <si>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</si>
  <si>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</si>
  <si>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</si>
  <si>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</si>
  <si>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</si>
  <si>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</si>
  <si>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</si>
  <si>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</si>
  <si>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</si>
  <si>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</si>
  <si>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</si>
  <si>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</si>
  <si>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</si>
  <si>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</si>
  <si>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</si>
  <si>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</si>
  <si>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</si>
  <si>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</si>
  <si>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</si>
  <si>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</si>
  <si>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</si>
  <si>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</si>
  <si>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</si>
  <si>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</si>
  <si>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</si>
  <si>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</si>
  <si>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</si>
  <si>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</si>
  <si>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</si>
  <si>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</si>
  <si>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</si>
  <si>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</si>
  <si>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</si>
  <si>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</si>
  <si>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</si>
  <si>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</si>
  <si>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</si>
  <si>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</si>
  <si>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</si>
  <si>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</si>
  <si>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</si>
  <si>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</si>
  <si>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</si>
  <si>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</si>
  <si>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</si>
  <si>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</si>
  <si>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Area Attacker</t>
  </si>
  <si>
    <t>Area Bonus Damage</t>
  </si>
  <si>
    <t>Area Bonus Damage Variance</t>
  </si>
  <si>
    <t>(12.7 + d42.2) x0.6</t>
  </si>
  <si>
    <t>n1</t>
  </si>
  <si>
    <t>k1</t>
  </si>
  <si>
    <t>n2</t>
  </si>
  <si>
    <t>k2</t>
  </si>
  <si>
    <t>min1</t>
  </si>
  <si>
    <t>max2</t>
  </si>
  <si>
    <t>min3</t>
  </si>
  <si>
    <t>sum</t>
  </si>
  <si>
    <t>n*(n+1)/2</t>
  </si>
  <si>
    <t>Dagger</t>
  </si>
  <si>
    <t>0 Fang</t>
  </si>
  <si>
    <t>Fang</t>
  </si>
  <si>
    <t>Defensive Duelist</t>
  </si>
  <si>
    <t>Dodge Bonus</t>
  </si>
  <si>
    <t>1 Cat Soldier</t>
  </si>
  <si>
    <t>Accuracy1</t>
  </si>
  <si>
    <t>Accuracy Variance1</t>
  </si>
  <si>
    <t>Damage Variance1</t>
  </si>
  <si>
    <t>Crit Factor1</t>
  </si>
  <si>
    <t>Search</t>
  </si>
  <si>
    <t>Charisma</t>
  </si>
  <si>
    <t>Scavenge</t>
  </si>
  <si>
    <t>Intimidate</t>
  </si>
  <si>
    <t>Courage</t>
  </si>
  <si>
    <t>Hope</t>
  </si>
  <si>
    <t>Stealth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</si>
</sst>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180975</xdr:rowOff>
        </xdr:from>
        <xdr:to>
          <xdr:col>17</xdr:col>
          <xdr:colOff>666750</xdr:colOff>
          <xdr:row>1</xdr:row>
          <xdr:rowOff>180975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180975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4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4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4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4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4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352425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66675</xdr:rowOff>
        </xdr:from>
        <xdr:to>
          <xdr:col>10</xdr:col>
          <xdr:colOff>695325</xdr:colOff>
          <xdr:row>8</xdr:row>
          <xdr:rowOff>123825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161925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171450</xdr:rowOff>
        </xdr:from>
        <xdr:to>
          <xdr:col>9</xdr:col>
          <xdr:colOff>714375</xdr:colOff>
          <xdr:row>15</xdr:row>
          <xdr:rowOff>9525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6" t="s">
        <v>35</v>
      </c>
      <c r="D2" s="26"/>
      <c r="E2" s="26"/>
      <c r="F2" s="26"/>
      <c r="G2" s="26" t="s">
        <v>8</v>
      </c>
      <c r="H2" s="26"/>
      <c r="I2" s="26"/>
      <c r="J2" s="26" t="s">
        <v>44</v>
      </c>
      <c r="K2" s="26"/>
      <c r="L2" s="26"/>
      <c r="M2" s="26"/>
      <c r="N2" s="26"/>
      <c r="O2" s="26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0.5</v>
      </c>
      <c r="E6">
        <f>B3*15</f>
        <v>240</v>
      </c>
      <c r="F6" s="8">
        <f>D6+E6</f>
        <v>240.5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</v>
      </c>
      <c r="E7">
        <f>(MIN(B3,30)*3.5)</f>
        <v>56</v>
      </c>
      <c r="F7" s="8">
        <f t="shared" ref="F7:F30" si="0">D7+E7</f>
        <v>56.5</v>
      </c>
    </row>
    <row r="8" spans="1:6" x14ac:dyDescent="0.25">
      <c r="A8" t="s">
        <v>16</v>
      </c>
      <c r="C8">
        <v>10</v>
      </c>
      <c r="D8" s="8">
        <f>$C8/LOOKUP($A8,'STAT COSTS'!$A:$A,'STAT COSTS'!$B:$B)</f>
        <v>0.5</v>
      </c>
      <c r="F8" s="8">
        <f t="shared" si="0"/>
        <v>0.5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2.5</v>
      </c>
      <c r="E9">
        <f>MIN(B3,30)*0.15</f>
        <v>2.4</v>
      </c>
      <c r="F9" s="8">
        <f t="shared" si="0"/>
        <v>4.9000000000000004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1</v>
      </c>
      <c r="F10" s="8">
        <f t="shared" si="0"/>
        <v>1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0.5</v>
      </c>
      <c r="F11" s="8">
        <f t="shared" si="0"/>
        <v>0.5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0.5</v>
      </c>
      <c r="F12" s="8">
        <f t="shared" si="0"/>
        <v>0.5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0.5</v>
      </c>
      <c r="E13">
        <f>F6*0.1</f>
        <v>24.05</v>
      </c>
      <c r="F13" s="8">
        <f t="shared" si="0"/>
        <v>24.55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0.5</v>
      </c>
      <c r="F14" s="8">
        <f t="shared" si="0"/>
        <v>0.5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0.5</v>
      </c>
      <c r="E15">
        <f>F6*0.05</f>
        <v>12.025</v>
      </c>
      <c r="F15" s="8">
        <f t="shared" si="0"/>
        <v>12.525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0.5</v>
      </c>
      <c r="F16" s="8">
        <f t="shared" si="0"/>
        <v>0.5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120.25</v>
      </c>
      <c r="F17" s="8">
        <f t="shared" si="0"/>
        <v>121.25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0.5</v>
      </c>
      <c r="E19">
        <f>B3*1.75</f>
        <v>28</v>
      </c>
      <c r="F19" s="8">
        <f t="shared" si="0"/>
        <v>28.5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0.5</v>
      </c>
      <c r="E20">
        <f>1</f>
        <v>1</v>
      </c>
      <c r="F20" s="8">
        <f t="shared" si="0"/>
        <v>1.5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0.5</v>
      </c>
      <c r="F23" s="8">
        <f t="shared" si="0"/>
        <v>0.5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10</v>
      </c>
      <c r="E24">
        <v>1</v>
      </c>
      <c r="F24" s="8">
        <f t="shared" si="0"/>
        <v>11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zoomScale="110" zoomScaleNormal="110" workbookViewId="0">
      <selection activeCell="R10" sqref="R10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206</v>
      </c>
      <c r="O4" t="s">
        <v>210</v>
      </c>
      <c r="P4" s="8">
        <v>0</v>
      </c>
      <c r="Q4" s="14">
        <v>0</v>
      </c>
      <c r="R4" s="14">
        <v>13</v>
      </c>
      <c r="T4" t="s">
        <v>210</v>
      </c>
      <c r="U4" t="s">
        <v>180</v>
      </c>
      <c r="V4" t="s">
        <v>169</v>
      </c>
      <c r="W4" t="s">
        <v>120</v>
      </c>
      <c r="X4" s="8">
        <v>0.5826403672572944</v>
      </c>
    </row>
    <row r="5" spans="1:24" x14ac:dyDescent="0.25">
      <c r="A5" s="15" t="str">
        <f>LOOKUP(MAX(M:M),M:M,N:N)</f>
        <v>0 Fang</v>
      </c>
      <c r="B5" s="10" t="s">
        <v>8</v>
      </c>
      <c r="C5" s="5" cm="1">
        <f t="array" aca="1" ref="C5" ca="1">INDIRECT("'"&amp;LOOKUP($A5,$A$18:$A$27,$B$18:$B$27)&amp;"'!B6")-SUMIFS(X:X,T:T,$A5,W:W,"Accuracy")</f>
        <v>12.3</v>
      </c>
      <c r="D5" s="6"/>
      <c r="E5" s="5">
        <v>19.5</v>
      </c>
      <c r="F5" s="19">
        <v>1</v>
      </c>
      <c r="G5" s="5" cm="1">
        <f t="array" aca="1" ref="G5" ca="1">F5*MAX(0,INDIRECT("'"&amp;LOOKUP($A5,$A$18:$A$27,$B$18:$B$27)&amp;"'!F23")-SUMIFS(X:X,T:T,$A5,W:W,"Willpower Factor"))</f>
        <v>3.2</v>
      </c>
      <c r="H5" s="5">
        <v>1</v>
      </c>
      <c r="I5" s="12">
        <f ca="1">SUM(C5:E5,G5)*H5</f>
        <v>35</v>
      </c>
      <c r="J5" s="3"/>
      <c r="K5" s="2"/>
      <c r="M5" s="11">
        <v>1.01</v>
      </c>
      <c r="N5" t="s">
        <v>206</v>
      </c>
      <c r="O5" t="s">
        <v>210</v>
      </c>
      <c r="P5" s="8">
        <v>23.411308160194984</v>
      </c>
      <c r="Q5" s="14">
        <v>1</v>
      </c>
      <c r="R5" s="14">
        <v>10</v>
      </c>
      <c r="T5" t="s">
        <v>210</v>
      </c>
      <c r="U5" t="s">
        <v>182</v>
      </c>
      <c r="V5" t="s">
        <v>169</v>
      </c>
      <c r="W5" t="s">
        <v>9</v>
      </c>
      <c r="X5" s="8">
        <v>49.933257304216042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2</v>
      </c>
      <c r="T6">
        <v>0</v>
      </c>
    </row>
    <row r="7" spans="1:24" x14ac:dyDescent="0.25">
      <c r="A7" s="15" t="str">
        <f>LOOKUP(MAX(M:M),M:M,O:O)</f>
        <v>4 Cat Soldier</v>
      </c>
      <c r="B7" s="10" t="s">
        <v>9</v>
      </c>
      <c r="C7" s="5" cm="1">
        <f t="array" aca="1" ref="C7" ca="1">INDIRECT("'"&amp;LOOKUP($A7,$A$18:$A$27,$B$18:$B$27)&amp;"'!F14")-SUMIFS(X:X,T:T,$A7,W:W,B7)</f>
        <v>0.5</v>
      </c>
      <c r="D7" s="6"/>
      <c r="E7" s="5">
        <v>11.274077475070953</v>
      </c>
      <c r="F7" s="19">
        <v>9</v>
      </c>
      <c r="G7" s="5" cm="1">
        <f t="array" aca="1" ref="G7" ca="1">F7*MAX(0,INDIRECT("'"&amp;LOOKUP($A7,$A$18:$A$27,$B$18:$B$27)&amp;"'!F23")-SUMIFS(X:X,T:T,$A7,W:W,"Willpower Factor"))</f>
        <v>22.95</v>
      </c>
      <c r="H7" s="5">
        <v>1</v>
      </c>
      <c r="I7" s="12">
        <f ca="1">SUM(C7:E7,G7)*H7</f>
        <v>34.724077475070956</v>
      </c>
      <c r="J7" s="3"/>
      <c r="K7" s="2"/>
      <c r="M7" s="11">
        <v>2.0099999999999998</v>
      </c>
      <c r="N7" t="s">
        <v>206</v>
      </c>
      <c r="O7" t="s">
        <v>210</v>
      </c>
      <c r="P7" s="8">
        <v>78.92307692307692</v>
      </c>
      <c r="Q7" s="14">
        <v>1</v>
      </c>
      <c r="R7" s="14">
        <v>5</v>
      </c>
      <c r="T7" t="s">
        <v>149</v>
      </c>
      <c r="U7" t="s">
        <v>163</v>
      </c>
      <c r="V7" t="s">
        <v>168</v>
      </c>
      <c r="W7" t="s">
        <v>20</v>
      </c>
      <c r="X7" s="8">
        <v>42.559046923625175</v>
      </c>
    </row>
    <row r="8" spans="1:24" x14ac:dyDescent="0.25">
      <c r="A8" s="2" t="str">
        <f>A5</f>
        <v>0 Fang</v>
      </c>
      <c r="B8" s="10" t="s">
        <v>50</v>
      </c>
      <c r="C8" s="5" cm="1">
        <f t="array" aca="1" ref="C8" ca="1">INDIRECT("'"&amp;LOOKUP($A8,$A$18:$A$27,$B$18:$B$27)&amp;"'!D6")-SUMIFS(X:X,T:T,$A8,W:W,B8)</f>
        <v>6</v>
      </c>
      <c r="D8" s="6"/>
      <c r="E8" s="5">
        <v>92.6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98.6</v>
      </c>
      <c r="J8" s="3"/>
      <c r="K8" s="2"/>
      <c r="M8" s="11">
        <v>2.11</v>
      </c>
      <c r="N8" t="s">
        <v>149</v>
      </c>
      <c r="O8" t="s">
        <v>206</v>
      </c>
      <c r="P8" s="8">
        <v>0</v>
      </c>
      <c r="Q8" s="14">
        <v>13</v>
      </c>
      <c r="R8" s="14">
        <v>1</v>
      </c>
      <c r="T8" t="s">
        <v>149</v>
      </c>
      <c r="U8" t="s">
        <v>179</v>
      </c>
      <c r="V8" t="s">
        <v>169</v>
      </c>
      <c r="W8" t="s">
        <v>20</v>
      </c>
      <c r="X8" s="8">
        <v>29.41410884899971</v>
      </c>
    </row>
    <row r="9" spans="1:24" x14ac:dyDescent="0.25">
      <c r="A9" s="2" t="str">
        <f>A7</f>
        <v>4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75.84615384615384</v>
      </c>
      <c r="J9" s="3" t="str">
        <f ca="1">IF(NOT(ISBLANK(E5)),IF(I5&gt;I7*2, "CRIT!",IF(I5&gt;I7,"HIT","miss")),"")</f>
        <v>HIT</v>
      </c>
      <c r="K9" s="2"/>
      <c r="M9" s="11">
        <v>3</v>
      </c>
      <c r="N9" t="s">
        <v>206</v>
      </c>
      <c r="O9" t="s">
        <v>149</v>
      </c>
      <c r="P9" s="8">
        <v>66.538461538461547</v>
      </c>
      <c r="Q9" s="14">
        <v>1</v>
      </c>
      <c r="R9" s="14">
        <v>3</v>
      </c>
      <c r="T9" t="s">
        <v>150</v>
      </c>
      <c r="U9" t="s">
        <v>165</v>
      </c>
      <c r="V9" t="s">
        <v>165</v>
      </c>
      <c r="W9" t="s">
        <v>7</v>
      </c>
      <c r="X9" s="8">
        <v>160.38996871981868</v>
      </c>
    </row>
    <row r="10" spans="1:24" x14ac:dyDescent="0.25">
      <c r="A10" s="2" t="str">
        <f>A7</f>
        <v>4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13.479999999999999</v>
      </c>
      <c r="D10" s="6"/>
      <c r="E10" s="5">
        <v>7.6947277784347543</v>
      </c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21.174727778434754</v>
      </c>
      <c r="J10" s="3" t="str">
        <f ca="1">IF(NOT(ISBLANK(E5)),IF(IF(I5&gt;I7*2,I9*2,I9)&gt;I10,"WOUNDED",""),"")</f>
        <v>WOUNDED</v>
      </c>
      <c r="K10" s="2"/>
      <c r="M10" s="11">
        <v>3.01</v>
      </c>
      <c r="N10" t="s">
        <v>206</v>
      </c>
      <c r="O10" t="s">
        <v>149</v>
      </c>
      <c r="P10" s="8">
        <v>0</v>
      </c>
      <c r="Q10" s="14">
        <v>0</v>
      </c>
      <c r="R10" s="14">
        <v>0</v>
      </c>
      <c r="T10" t="s">
        <v>151</v>
      </c>
      <c r="U10" t="s">
        <v>163</v>
      </c>
      <c r="V10" t="s">
        <v>168</v>
      </c>
      <c r="W10" t="s">
        <v>20</v>
      </c>
      <c r="X10" s="8">
        <v>23.202534801195831</v>
      </c>
    </row>
    <row r="11" spans="1:24" x14ac:dyDescent="0.25">
      <c r="A11" s="2" t="str">
        <f>A7</f>
        <v>4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6.13</v>
      </c>
      <c r="D11" s="6"/>
      <c r="E11" s="5">
        <v>2.3774384438991549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8.5074384438991544</v>
      </c>
      <c r="J11" s="3" t="str">
        <f ca="1">IF(NOT(ISBLANK(E5)),IF(IF(I5&gt;I7*2,I9*2,I9)&gt;I11,"WINCED",""),"")</f>
        <v>WINCED</v>
      </c>
      <c r="K11" s="2"/>
      <c r="M11" s="11">
        <v>3.02</v>
      </c>
      <c r="N11" t="s">
        <v>150</v>
      </c>
      <c r="O11" t="s">
        <v>206</v>
      </c>
      <c r="P11" s="8">
        <v>0</v>
      </c>
      <c r="Q11" s="14">
        <v>27</v>
      </c>
      <c r="R11" s="14">
        <v>2</v>
      </c>
      <c r="T11" t="s">
        <v>152</v>
      </c>
      <c r="U11" t="s">
        <v>166</v>
      </c>
      <c r="V11" t="s">
        <v>169</v>
      </c>
      <c r="W11" t="s">
        <v>9</v>
      </c>
      <c r="X11" s="8">
        <v>56.507061921602642</v>
      </c>
    </row>
    <row r="12" spans="1:24" x14ac:dyDescent="0.25">
      <c r="A12" s="2" t="str">
        <f>A7</f>
        <v>4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2.1613362431526184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69.311336243152624</v>
      </c>
      <c r="J12" s="3" t="str">
        <f ca="1">IF(I9&gt;0,IF(SUMIF(A18:A27,A12,F18:F27)-SUMIF(A18:A27,A12,E18:E27)&gt;I12,"UNCONSCIOUS",""),"")</f>
        <v>UNCONSCIOUS</v>
      </c>
      <c r="K12" s="2"/>
      <c r="M12" s="11">
        <v>4</v>
      </c>
      <c r="N12" t="s">
        <v>206</v>
      </c>
      <c r="O12" t="s">
        <v>149</v>
      </c>
      <c r="P12" s="8">
        <v>49.153846153846153</v>
      </c>
      <c r="Q12" s="14">
        <v>1</v>
      </c>
      <c r="R12" s="14">
        <v>13</v>
      </c>
      <c r="T12" t="s">
        <v>151</v>
      </c>
      <c r="U12" t="s">
        <v>164</v>
      </c>
      <c r="V12" t="s">
        <v>168</v>
      </c>
      <c r="W12" t="s">
        <v>120</v>
      </c>
      <c r="X12" s="8">
        <v>15.875283613082694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4.01</v>
      </c>
      <c r="N13" t="s">
        <v>206</v>
      </c>
      <c r="O13" t="s">
        <v>150</v>
      </c>
      <c r="P13" s="8">
        <v>176.59567759587216</v>
      </c>
      <c r="Q13" s="14">
        <v>0</v>
      </c>
      <c r="R13" s="14">
        <v>0</v>
      </c>
      <c r="T13" t="s">
        <v>153</v>
      </c>
      <c r="U13" t="s">
        <v>166</v>
      </c>
      <c r="V13" t="s">
        <v>174</v>
      </c>
      <c r="W13" t="s">
        <v>11</v>
      </c>
      <c r="X13" s="8">
        <v>58.896228620608653</v>
      </c>
    </row>
    <row r="14" spans="1:24" x14ac:dyDescent="0.25">
      <c r="M14" s="11">
        <v>4.1099999999999994</v>
      </c>
      <c r="N14" t="s">
        <v>151</v>
      </c>
      <c r="O14" t="s">
        <v>206</v>
      </c>
      <c r="P14" s="8">
        <v>0</v>
      </c>
      <c r="Q14" s="14">
        <v>21</v>
      </c>
      <c r="R14" s="14">
        <v>1</v>
      </c>
      <c r="T14" t="s">
        <v>154</v>
      </c>
      <c r="U14" t="s">
        <v>164</v>
      </c>
      <c r="V14" t="s">
        <v>168</v>
      </c>
      <c r="W14" t="s">
        <v>120</v>
      </c>
      <c r="X14" s="8">
        <v>60.770281337744166</v>
      </c>
    </row>
    <row r="15" spans="1:24" x14ac:dyDescent="0.25">
      <c r="A15" t="s">
        <v>45</v>
      </c>
      <c r="B15" t="s">
        <v>5</v>
      </c>
      <c r="C15" s="2" t="s">
        <v>6</v>
      </c>
      <c r="D15" s="2" t="s">
        <v>195</v>
      </c>
      <c r="E15" s="5">
        <v>23.734229871419945</v>
      </c>
      <c r="G15" s="26" t="s">
        <v>209</v>
      </c>
      <c r="H15" s="26"/>
      <c r="I15" s="26"/>
      <c r="K15" s="8">
        <v>6.7</v>
      </c>
      <c r="M15" s="11">
        <v>5</v>
      </c>
      <c r="N15" t="s">
        <v>206</v>
      </c>
      <c r="O15" t="s">
        <v>151</v>
      </c>
      <c r="P15" s="8">
        <v>44.153846153846153</v>
      </c>
      <c r="Q15" s="14">
        <v>1</v>
      </c>
      <c r="R15" s="14">
        <v>6</v>
      </c>
      <c r="T15" t="s">
        <v>154</v>
      </c>
      <c r="U15" t="s">
        <v>160</v>
      </c>
      <c r="V15" t="s">
        <v>165</v>
      </c>
      <c r="W15" t="s">
        <v>5</v>
      </c>
      <c r="X15" s="8">
        <v>5.9372361022386819</v>
      </c>
    </row>
    <row r="16" spans="1:24" x14ac:dyDescent="0.25">
      <c r="M16" s="11">
        <v>5.01</v>
      </c>
      <c r="N16" t="s">
        <v>206</v>
      </c>
      <c r="O16" t="s">
        <v>152</v>
      </c>
      <c r="P16" s="8">
        <v>81.230769230769226</v>
      </c>
      <c r="Q16" s="14">
        <v>1</v>
      </c>
      <c r="R16" s="14">
        <v>13</v>
      </c>
      <c r="T16" t="s">
        <v>156</v>
      </c>
      <c r="U16" t="s">
        <v>172</v>
      </c>
      <c r="V16" t="s">
        <v>174</v>
      </c>
      <c r="W16" t="s">
        <v>22</v>
      </c>
      <c r="X16" s="8">
        <v>49.483775666096278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6</v>
      </c>
      <c r="N17" t="s">
        <v>206</v>
      </c>
      <c r="O17" t="s">
        <v>151</v>
      </c>
      <c r="P17" s="8">
        <v>36.384615384615387</v>
      </c>
      <c r="Q17" s="14">
        <v>1</v>
      </c>
      <c r="R17" s="14">
        <v>8</v>
      </c>
      <c r="T17" t="s">
        <v>155</v>
      </c>
      <c r="U17" t="s">
        <v>173</v>
      </c>
      <c r="V17" t="s">
        <v>169</v>
      </c>
      <c r="W17" t="s">
        <v>2</v>
      </c>
      <c r="X17" s="8">
        <v>36.04167795499167</v>
      </c>
    </row>
    <row r="18" spans="1:24" x14ac:dyDescent="0.25">
      <c r="A18" t="s">
        <v>206</v>
      </c>
      <c r="B18" t="s">
        <v>207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25</v>
      </c>
      <c r="E18" s="8">
        <f ca="1">F18-SUMIF(O:O,A18,P:P)</f>
        <v>375</v>
      </c>
      <c r="F18" s="8" cm="1">
        <f t="array" aca="1" ref="F18" ca="1">INDIRECT("'"&amp;$B18&amp;"'!F9")</f>
        <v>375</v>
      </c>
      <c r="G18" s="8">
        <f ca="1">H18-SUMIF(N:N,A18,Q:Q)-SUMIF(O:O,A18,R:R)</f>
        <v>9.3000000000000007</v>
      </c>
      <c r="H18" s="8" cm="1">
        <f t="array" aca="1" ref="H18" ca="1">INDIRECT("'"&amp;$B18&amp;"'!F22")</f>
        <v>31.3</v>
      </c>
      <c r="I18" s="8"/>
      <c r="J18">
        <v>0</v>
      </c>
      <c r="M18" s="11">
        <v>6.01</v>
      </c>
      <c r="N18" t="s">
        <v>206</v>
      </c>
      <c r="O18" t="s">
        <v>153</v>
      </c>
      <c r="P18" s="8">
        <v>79</v>
      </c>
      <c r="Q18" s="14">
        <v>1</v>
      </c>
      <c r="R18" s="14">
        <v>44</v>
      </c>
      <c r="T18" t="s">
        <v>155</v>
      </c>
      <c r="U18" t="s">
        <v>179</v>
      </c>
      <c r="V18" t="s">
        <v>169</v>
      </c>
      <c r="W18" t="s">
        <v>20</v>
      </c>
      <c r="X18" s="8">
        <v>22.454822498529388</v>
      </c>
    </row>
    <row r="19" spans="1:24" x14ac:dyDescent="0.25">
      <c r="A19" t="s">
        <v>210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F19-SUMIF(O:O,A19,P:P)</f>
        <v>44.665614916728089</v>
      </c>
      <c r="F19" s="8" cm="1">
        <f t="array" aca="1" ref="F19" ca="1">INDIRECT("'"&amp;$B19&amp;"'!F9")</f>
        <v>147</v>
      </c>
      <c r="G19" s="8">
        <f ca="1">H19-SUMIF(N:N,A19,Q:Q)-SUMIF(O:O,A19,R:R)</f>
        <v>29.5</v>
      </c>
      <c r="H19" s="8" cm="1">
        <f t="array" aca="1" ref="H19" ca="1">INDIRECT("'"&amp;$B19&amp;"'!F22")</f>
        <v>57.5</v>
      </c>
      <c r="I19" s="8" t="s">
        <v>136</v>
      </c>
      <c r="J19" s="8">
        <v>0</v>
      </c>
      <c r="K19" s="8"/>
      <c r="L19" s="8"/>
      <c r="M19" s="11">
        <v>7</v>
      </c>
      <c r="N19" t="s">
        <v>206</v>
      </c>
      <c r="O19" t="s">
        <v>154</v>
      </c>
      <c r="P19" s="8">
        <v>82.230769230769241</v>
      </c>
      <c r="Q19" s="14">
        <v>1</v>
      </c>
      <c r="R19" s="14">
        <v>55</v>
      </c>
      <c r="T19" t="s">
        <v>151</v>
      </c>
      <c r="U19" t="s">
        <v>164</v>
      </c>
      <c r="V19" t="s">
        <v>168</v>
      </c>
      <c r="W19" t="s">
        <v>120</v>
      </c>
      <c r="X19" s="8">
        <v>54.504759401052425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F20-SUMIF(O:O,A20,P:P)</f>
        <v>31.307692307692292</v>
      </c>
      <c r="F20" s="8" cm="1">
        <f t="array" aca="1" ref="F20" ca="1">INDIRECT("'"&amp;$B20&amp;"'!F9")</f>
        <v>147</v>
      </c>
      <c r="G20" s="8">
        <f ca="1">H20-SUMIF(N:N,A20,Q:Q)-SUMIF(O:O,A20,R:R)</f>
        <v>28.5</v>
      </c>
      <c r="H20" s="8" cm="1">
        <f t="array" aca="1" ref="H20" ca="1">INDIRECT("'"&amp;$B20&amp;"'!F22")</f>
        <v>57.5</v>
      </c>
      <c r="I20" s="8" t="s">
        <v>136</v>
      </c>
      <c r="J20" s="8">
        <v>0</v>
      </c>
      <c r="K20" s="8"/>
      <c r="L20" s="8"/>
      <c r="M20" s="11">
        <v>7.01</v>
      </c>
      <c r="N20" t="s">
        <v>206</v>
      </c>
      <c r="O20" t="s">
        <v>154</v>
      </c>
      <c r="P20" s="8">
        <v>22.076923076923077</v>
      </c>
      <c r="Q20" s="14">
        <v>0</v>
      </c>
      <c r="R20" s="14">
        <v>0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F21-SUMIF(O:O,A21,P:P)</f>
        <v>-29.595677595872161</v>
      </c>
      <c r="F21" s="8" cm="1">
        <f t="array" aca="1" ref="F21" ca="1">INDIRECT("'"&amp;$B21&amp;"'!F9")</f>
        <v>147</v>
      </c>
      <c r="G21" s="8">
        <f ca="1">H21-SUMIF(N:N,A21,Q:Q)-SUMIF(O:O,A21,R:R)</f>
        <v>30.5</v>
      </c>
      <c r="H21" s="8" cm="1">
        <f t="array" aca="1" ref="H21" ca="1">INDIRECT("'"&amp;$B21&amp;"'!F22")</f>
        <v>57.5</v>
      </c>
      <c r="I21" s="8" t="s">
        <v>136</v>
      </c>
      <c r="J21" s="8">
        <v>0</v>
      </c>
      <c r="K21" s="8"/>
      <c r="L21" s="8"/>
      <c r="M21" s="11">
        <v>7.1099999999999994</v>
      </c>
      <c r="N21" t="s">
        <v>151</v>
      </c>
      <c r="O21" t="s">
        <v>206</v>
      </c>
      <c r="P21" s="8">
        <v>0</v>
      </c>
      <c r="Q21" s="14">
        <v>23</v>
      </c>
      <c r="R21" s="14">
        <v>2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F22-SUMIF(O:O,A22,P:P)</f>
        <v>-9.3846153846153868</v>
      </c>
      <c r="F22" s="8" cm="1">
        <f t="array" aca="1" ref="F22" ca="1">INDIRECT("'"&amp;$B22&amp;"'!F9")</f>
        <v>147</v>
      </c>
      <c r="G22" s="8">
        <f ca="1">H22-SUMIF(N:N,A22,Q:Q)-SUMIF(O:O,A22,R:R)</f>
        <v>-46.5</v>
      </c>
      <c r="H22" s="8" cm="1">
        <f t="array" aca="1" ref="H22" ca="1">INDIRECT("'"&amp;$B22&amp;"'!F22")</f>
        <v>57.5</v>
      </c>
      <c r="I22" s="8" t="s">
        <v>136</v>
      </c>
      <c r="J22" s="8">
        <v>0</v>
      </c>
      <c r="K22" s="8"/>
      <c r="L22" s="8"/>
      <c r="M22" s="11">
        <v>8</v>
      </c>
      <c r="N22" t="s">
        <v>206</v>
      </c>
      <c r="O22" t="s">
        <v>156</v>
      </c>
      <c r="P22" s="8">
        <v>24.53846153846154</v>
      </c>
      <c r="Q22" s="14">
        <v>1</v>
      </c>
      <c r="R22" s="14">
        <v>16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F23-SUMIF(O:O,A23,P:P)</f>
        <v>65.769230769230774</v>
      </c>
      <c r="F23" s="8" cm="1">
        <f t="array" aca="1" ref="F23" ca="1">INDIRECT("'"&amp;$B23&amp;"'!F9")</f>
        <v>147</v>
      </c>
      <c r="G23" s="8">
        <f ca="1">H23-SUMIF(N:N,A23,Q:Q)-SUMIF(O:O,A23,R:R)</f>
        <v>44.5</v>
      </c>
      <c r="H23" s="8" cm="1">
        <f t="array" aca="1" ref="H23" ca="1">INDIRECT("'"&amp;$B23&amp;"'!F22")</f>
        <v>57.5</v>
      </c>
      <c r="I23" s="8" t="s">
        <v>136</v>
      </c>
      <c r="J23" s="8">
        <v>0</v>
      </c>
      <c r="K23" s="8"/>
      <c r="L23" s="8"/>
      <c r="M23" s="11">
        <v>8.01</v>
      </c>
      <c r="N23" t="s">
        <v>206</v>
      </c>
      <c r="O23" t="s">
        <v>156</v>
      </c>
      <c r="P23" s="8">
        <v>71.692307692307693</v>
      </c>
      <c r="Q23" s="14">
        <v>1</v>
      </c>
      <c r="R23" s="14">
        <v>34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F24-SUMIF(O:O,A24,P:P)</f>
        <v>68</v>
      </c>
      <c r="F24" s="8" cm="1">
        <f t="array" aca="1" ref="F24" ca="1">INDIRECT("'"&amp;$B24&amp;"'!F9")</f>
        <v>147</v>
      </c>
      <c r="G24" s="8">
        <f ca="1">H24-SUMIF(N:N,A24,Q:Q)-SUMIF(O:O,A24,R:R)</f>
        <v>13.5</v>
      </c>
      <c r="H24" s="8" cm="1">
        <f t="array" aca="1" ref="H24" ca="1">INDIRECT("'"&amp;$B24&amp;"'!F22")</f>
        <v>57.5</v>
      </c>
      <c r="I24" s="8" t="s">
        <v>136</v>
      </c>
      <c r="J24" s="8">
        <v>0</v>
      </c>
      <c r="K24" s="8"/>
      <c r="L24" s="8"/>
      <c r="M24" s="11">
        <v>8.11</v>
      </c>
      <c r="N24" t="s">
        <v>151</v>
      </c>
      <c r="O24" t="s">
        <v>206</v>
      </c>
      <c r="P24" s="8">
        <v>0</v>
      </c>
      <c r="Q24" s="14">
        <v>0</v>
      </c>
      <c r="R24" s="14">
        <v>0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F25-SUMIF(O:O,A25,P:P)</f>
        <v>42.692307692307679</v>
      </c>
      <c r="F25" s="8" cm="1">
        <f t="array" aca="1" ref="F25" ca="1">INDIRECT("'"&amp;$B25&amp;"'!F9")</f>
        <v>147</v>
      </c>
      <c r="G25" s="8">
        <f ca="1">H25-SUMIF(N:N,A25,Q:Q)-SUMIF(O:O,A25,R:R)</f>
        <v>2.5</v>
      </c>
      <c r="H25" s="8" cm="1">
        <f t="array" aca="1" ref="H25" ca="1">INDIRECT("'"&amp;$B25&amp;"'!F22")</f>
        <v>57.5</v>
      </c>
      <c r="I25" s="8" t="s">
        <v>136</v>
      </c>
      <c r="J25" s="8">
        <v>0</v>
      </c>
      <c r="K25" s="8"/>
      <c r="L25" s="8"/>
      <c r="M25" s="11">
        <v>8.2099999999999991</v>
      </c>
      <c r="N25" t="s">
        <v>155</v>
      </c>
      <c r="O25" t="s">
        <v>206</v>
      </c>
      <c r="P25" s="8">
        <v>0</v>
      </c>
      <c r="Q25" s="14">
        <v>26</v>
      </c>
      <c r="R25" s="14">
        <v>1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F26-SUMIF(O:O,A26,P:P)</f>
        <v>47.153846153846146</v>
      </c>
      <c r="F26" s="8" cm="1">
        <f t="array" aca="1" ref="F26" ca="1">INDIRECT("'"&amp;$B26&amp;"'!F9")</f>
        <v>147</v>
      </c>
      <c r="G26" s="8">
        <f ca="1">H26-SUMIF(N:N,A26,Q:Q)-SUMIF(O:O,A26,R:R)</f>
        <v>-0.5</v>
      </c>
      <c r="H26" s="8" cm="1">
        <f t="array" aca="1" ref="H26" ca="1">INDIRECT("'"&amp;$B26&amp;"'!F22")</f>
        <v>57.5</v>
      </c>
      <c r="I26" s="8" t="s">
        <v>136</v>
      </c>
      <c r="J26" s="8">
        <v>0</v>
      </c>
      <c r="K26" s="8"/>
      <c r="L26" s="8"/>
      <c r="M26" s="11">
        <v>9</v>
      </c>
      <c r="N26" t="s">
        <v>206</v>
      </c>
      <c r="O26" t="s">
        <v>155</v>
      </c>
      <c r="P26" s="8">
        <v>53.000000000000007</v>
      </c>
      <c r="Q26" s="14">
        <v>1</v>
      </c>
      <c r="R26" s="14">
        <v>30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F27-SUMIF(O:O,A27,P:P)</f>
        <v>50.769230769230774</v>
      </c>
      <c r="F27" s="8" cm="1">
        <f t="array" aca="1" ref="F27" ca="1">INDIRECT("'"&amp;$B27&amp;"'!F9")</f>
        <v>147</v>
      </c>
      <c r="G27" s="8">
        <f ca="1">H27-SUMIF(N:N,A27,Q:Q)-SUMIF(O:O,A27,R:R)</f>
        <v>7.5</v>
      </c>
      <c r="H27" s="8" cm="1">
        <f t="array" aca="1" ref="H27" ca="1">INDIRECT("'"&amp;$B27&amp;"'!F22")</f>
        <v>57.5</v>
      </c>
      <c r="I27" s="8" t="s">
        <v>136</v>
      </c>
      <c r="J27" s="8">
        <v>0</v>
      </c>
      <c r="K27" s="8"/>
      <c r="L27" s="8"/>
      <c r="M27" s="11">
        <v>9.01</v>
      </c>
      <c r="N27" t="s">
        <v>206</v>
      </c>
      <c r="O27" t="s">
        <v>155</v>
      </c>
      <c r="P27" s="8">
        <v>46.846153846153847</v>
      </c>
      <c r="Q27" s="14">
        <v>1</v>
      </c>
      <c r="R27" s="14">
        <v>2</v>
      </c>
    </row>
    <row r="28" spans="1:24" x14ac:dyDescent="0.25">
      <c r="J28" s="8">
        <f t="shared" ref="J28" si="0">(MAX(0,100-(MAX(M:M)-0-7)*1.9))</f>
        <v>94.3</v>
      </c>
      <c r="M28" s="11">
        <v>9.11</v>
      </c>
      <c r="N28" t="s">
        <v>151</v>
      </c>
      <c r="O28" t="s">
        <v>206</v>
      </c>
      <c r="P28" s="8">
        <v>0</v>
      </c>
      <c r="Q28" s="14">
        <v>37</v>
      </c>
      <c r="R28" s="14">
        <v>1</v>
      </c>
    </row>
    <row r="29" spans="1:24" x14ac:dyDescent="0.25">
      <c r="M29" s="11">
        <v>10</v>
      </c>
      <c r="N29" t="s">
        <v>206</v>
      </c>
      <c r="O29" t="s">
        <v>151</v>
      </c>
      <c r="P29" s="8">
        <v>75.84615384615384</v>
      </c>
      <c r="Q29" s="14">
        <v>1</v>
      </c>
      <c r="R29" s="14">
        <v>9</v>
      </c>
    </row>
    <row r="30" spans="1:24" x14ac:dyDescent="0.25">
      <c r="A30" s="9" t="s">
        <v>209</v>
      </c>
      <c r="B30" t="s">
        <v>150</v>
      </c>
      <c r="C30" t="s">
        <v>151</v>
      </c>
      <c r="D30" t="s">
        <v>155</v>
      </c>
    </row>
    <row r="31" spans="1:24" x14ac:dyDescent="0.25">
      <c r="A31" t="s">
        <v>206</v>
      </c>
      <c r="B31">
        <v>6.7</v>
      </c>
      <c r="C31">
        <f>6.7*4</f>
        <v>26.8</v>
      </c>
      <c r="D31">
        <v>6.7</v>
      </c>
    </row>
    <row r="53" spans="13:18" x14ac:dyDescent="0.25">
      <c r="N53" s="11"/>
      <c r="O53" s="11"/>
      <c r="P53" s="11"/>
      <c r="Q53" s="11"/>
      <c r="R53" s="11"/>
    </row>
    <row r="60" spans="13:18" x14ac:dyDescent="0.25">
      <c r="M60" s="21"/>
      <c r="N60" s="22"/>
      <c r="O60" s="22"/>
      <c r="P60" s="23"/>
      <c r="Q60" s="24"/>
      <c r="R60" s="25"/>
    </row>
    <row r="67" spans="17:18" x14ac:dyDescent="0.25">
      <c r="Q67"/>
      <c r="R67"/>
    </row>
    <row r="83" spans="2:10" x14ac:dyDescent="0.25">
      <c r="I83" t="s">
        <v>204</v>
      </c>
    </row>
    <row r="84" spans="2:10" x14ac:dyDescent="0.25">
      <c r="B84" t="s">
        <v>196</v>
      </c>
      <c r="C84" t="s">
        <v>197</v>
      </c>
      <c r="D84" t="s">
        <v>198</v>
      </c>
      <c r="E84" t="s">
        <v>199</v>
      </c>
      <c r="F84" t="s">
        <v>200</v>
      </c>
      <c r="G84" t="s">
        <v>201</v>
      </c>
      <c r="H84" t="s">
        <v>202</v>
      </c>
      <c r="I84" t="s">
        <v>203</v>
      </c>
    </row>
    <row r="85" spans="2:10" x14ac:dyDescent="0.25">
      <c r="B85" s="8">
        <f ca="1">C5</f>
        <v>12.3</v>
      </c>
      <c r="C85" s="8">
        <f>E5</f>
        <v>19.5</v>
      </c>
      <c r="D85" s="8">
        <f ca="1">C7</f>
        <v>0.5</v>
      </c>
      <c r="E85" s="8">
        <f>E7</f>
        <v>11.274077475070953</v>
      </c>
      <c r="F85" s="8">
        <f ca="1">MIN(0,B85+C85-D85-E85)</f>
        <v>0</v>
      </c>
      <c r="G85" s="8">
        <f>MAX(C85-E85,1)</f>
        <v>8.2259225249290466</v>
      </c>
      <c r="H85" s="8">
        <f ca="1">MIN(D85,B85-E85+C85)</f>
        <v>0.5</v>
      </c>
      <c r="J85" t="e">
        <f ca="1">(1/B85+1)*(F85+_xleta.SUM)</f>
        <v>#VALUE!</v>
      </c>
    </row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4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G15 B15:C15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J20" sqref="J20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40.920247871824721</v>
      </c>
      <c r="B1">
        <f ca="1">SUMIFS(G:G,E:E,"&gt;="&amp;A1,F:F,"&lt;"&amp;A1)</f>
        <v>0</v>
      </c>
      <c r="E1"/>
    </row>
    <row r="3" spans="1:7" x14ac:dyDescent="0.25">
      <c r="A3" t="str">
        <f ca="1">LOOKUP($B$1,$G:$G,A:A)</f>
        <v>Head</v>
      </c>
      <c r="B3" t="str">
        <f ca="1">LOOKUP($B$1,$G:$G,B:B)</f>
        <v>Back</v>
      </c>
      <c r="C3" t="str">
        <f ca="1">LOOKUP($B$1,$G:$G,C:C)</f>
        <v>Accuracy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2" sqref="E2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7.5</v>
      </c>
      <c r="F6" s="8">
        <f>SUMIFS($F:$F,$A:$A,F$5,$B:$B,$A$6)</f>
        <v>16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0.75</v>
      </c>
      <c r="E9" s="8">
        <f>$B$3*SUMIFS(Species_Stats!E:E,Species_Stats!A:A,$D$3,Species_Stats!B:B,A9)</f>
        <v>240</v>
      </c>
      <c r="F9" s="8">
        <f>D9+E9</f>
        <v>240.75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57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2.5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2.5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1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3.4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1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1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5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21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0.5</v>
      </c>
      <c r="E16" s="8">
        <f>$B$3*SUMIFS(Species_Stats!E:E,Species_Stats!A:A,$D$3,Species_Stats!B:B,A16) + $F$9*SUMIFS(Species_Stats!F:F,Species_Stats!A:A,$D$3,Species_Stats!B:B,A16)</f>
        <v>24.075000000000003</v>
      </c>
      <c r="F16" s="8">
        <f t="shared" si="1"/>
        <v>24.575000000000003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0.5</v>
      </c>
      <c r="E17" s="8">
        <f>$B$3*SUMIFS(Species_Stats!E:E,Species_Stats!A:A,$D$3,Species_Stats!B:B,A17) + $F$9*SUMIFS(Species_Stats!F:F,Species_Stats!A:A,$D$3,Species_Stats!B:B,A17)</f>
        <v>24.075000000000003</v>
      </c>
      <c r="F17" s="8">
        <f t="shared" si="1"/>
        <v>24.575000000000003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</v>
      </c>
      <c r="E18" s="8">
        <f>$B$3*SUMIFS(Species_Stats!E:E,Species_Stats!A:A,$D$3,Species_Stats!B:B,A18) + $F$9*SUMIFS(Species_Stats!F:F,Species_Stats!A:A,$D$3,Species_Stats!B:B,A18)</f>
        <v>12.037500000000001</v>
      </c>
      <c r="F18" s="8">
        <f t="shared" si="1"/>
        <v>13.037500000000001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1.5</v>
      </c>
      <c r="E19" s="8">
        <f>$B$3*SUMIFS(Species_Stats!E:E,Species_Stats!A:A,$D$3,Species_Stats!B:B,A19) + $F$9*SUMIFS(Species_Stats!F:F,Species_Stats!A:A,$D$3,Species_Stats!B:B,A19)</f>
        <v>12.037500000000001</v>
      </c>
      <c r="F19" s="8">
        <f t="shared" si="1"/>
        <v>13.537500000000001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120.375</v>
      </c>
      <c r="F20" s="8">
        <f t="shared" si="1"/>
        <v>123.375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72.224999999999994</v>
      </c>
      <c r="F21" s="8">
        <f t="shared" si="1"/>
        <v>87.224999999999994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0.5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28.5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0.5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1.66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7.5</v>
      </c>
      <c r="F26" s="8">
        <f t="shared" si="1"/>
        <v>7.5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15</v>
      </c>
      <c r="E27" s="8">
        <v>1</v>
      </c>
      <c r="F27" s="8">
        <f t="shared" si="1"/>
        <v>16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23.75</v>
      </c>
      <c r="E28" s="8">
        <v>0.1</v>
      </c>
      <c r="F28" s="11">
        <f t="shared" si="1"/>
        <v>23.85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7</v>
      </c>
      <c r="F6" s="8">
        <f>SUMIFS($F:$F,$A:$A,F$5,$B:$B,$A$6)</f>
        <v>2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13.5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13.5</v>
      </c>
      <c r="I10" t="s">
        <v>192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9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65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4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5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21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4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28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5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17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7</v>
      </c>
      <c r="F26" s="8">
        <f t="shared" si="0"/>
        <v>7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1</v>
      </c>
      <c r="E27" s="8">
        <v>1</v>
      </c>
      <c r="F27" s="8">
        <f t="shared" si="0"/>
        <v>2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7.5</v>
      </c>
      <c r="E28" s="8">
        <v>0.1</v>
      </c>
      <c r="F28" s="11">
        <f t="shared" si="0"/>
        <v>7.6</v>
      </c>
    </row>
    <row r="29" spans="1:6" x14ac:dyDescent="0.25">
      <c r="A29" t="s">
        <v>193</v>
      </c>
      <c r="B29" t="s">
        <v>190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194</v>
      </c>
      <c r="B30" t="s">
        <v>190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I12" sqref="I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0.5</v>
      </c>
      <c r="F6" s="8">
        <f>SUMIFS($F:$F,$A:$A,F$5,$B:$B,$A$6)</f>
        <v>7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0.5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1.5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1.71</v>
      </c>
      <c r="H12">
        <f ca="1">1.9+4.4*RAND()</f>
        <v>2.641416813278866</v>
      </c>
      <c r="I12">
        <f>6+2.8</f>
        <v>8.8000000000000007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0.75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3.27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0.5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0.5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2.5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25.6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0.25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13.479999999999999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0.25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14.950000000000001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0.25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6.13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0.25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10.540000000000001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5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57.5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0.5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2.5499999999999998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0.5</v>
      </c>
      <c r="F26" s="8">
        <f t="shared" si="1"/>
        <v>0.5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6</v>
      </c>
      <c r="E27">
        <v>1</v>
      </c>
      <c r="F27" s="8">
        <f t="shared" si="1"/>
        <v>7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5</v>
      </c>
      <c r="F32" s="8">
        <f t="shared" si="2"/>
        <v>5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5</v>
      </c>
      <c r="E33">
        <v>1</v>
      </c>
      <c r="F33" s="8">
        <f t="shared" si="2"/>
        <v>6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4"/>
  <sheetViews>
    <sheetView workbookViewId="0">
      <selection activeCell="H14" sqref="H14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  <row r="14" spans="1:7" x14ac:dyDescent="0.25">
      <c r="A14" t="s">
        <v>205</v>
      </c>
      <c r="B14">
        <v>1</v>
      </c>
      <c r="C14">
        <v>6</v>
      </c>
      <c r="D14" t="s">
        <v>91</v>
      </c>
      <c r="E14">
        <v>1</v>
      </c>
      <c r="F14">
        <v>1</v>
      </c>
      <c r="G1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7" t="s">
        <v>95</v>
      </c>
      <c r="D2" s="27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34"/>
  <sheetViews>
    <sheetView tabSelected="1" workbookViewId="0">
      <selection activeCell="E31" sqref="E31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193</v>
      </c>
      <c r="B6">
        <v>2</v>
      </c>
    </row>
    <row r="7" spans="1:2" x14ac:dyDescent="0.25">
      <c r="A7" t="s">
        <v>194</v>
      </c>
      <c r="B7">
        <v>1</v>
      </c>
    </row>
    <row r="8" spans="1:2" x14ac:dyDescent="0.25">
      <c r="A8" t="s">
        <v>19</v>
      </c>
      <c r="B8">
        <v>10</v>
      </c>
    </row>
    <row r="9" spans="1:2" x14ac:dyDescent="0.25">
      <c r="A9" t="s">
        <v>20</v>
      </c>
      <c r="B9">
        <v>2</v>
      </c>
    </row>
    <row r="10" spans="1:2" x14ac:dyDescent="0.25">
      <c r="A10" t="s">
        <v>120</v>
      </c>
      <c r="B10">
        <v>200</v>
      </c>
    </row>
    <row r="11" spans="1:2" x14ac:dyDescent="0.25">
      <c r="A11" t="s">
        <v>7</v>
      </c>
      <c r="B11">
        <v>5</v>
      </c>
    </row>
    <row r="12" spans="1:2" x14ac:dyDescent="0.25">
      <c r="A12" t="s">
        <v>9</v>
      </c>
      <c r="B12">
        <v>25</v>
      </c>
    </row>
    <row r="13" spans="1:2" x14ac:dyDescent="0.25">
      <c r="A13" t="s">
        <v>10</v>
      </c>
      <c r="B13">
        <v>5</v>
      </c>
    </row>
    <row r="14" spans="1:2" x14ac:dyDescent="0.25">
      <c r="A14" t="s">
        <v>13</v>
      </c>
      <c r="B14">
        <v>12</v>
      </c>
    </row>
    <row r="15" spans="1:2" x14ac:dyDescent="0.25">
      <c r="A15" t="s">
        <v>14</v>
      </c>
      <c r="B15">
        <v>4</v>
      </c>
    </row>
    <row r="16" spans="1:2" x14ac:dyDescent="0.25">
      <c r="A16" t="s">
        <v>191</v>
      </c>
      <c r="B16">
        <v>250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  <row r="27" spans="1:2" x14ac:dyDescent="0.25">
      <c r="A27" t="s">
        <v>209</v>
      </c>
      <c r="B27">
        <v>15</v>
      </c>
    </row>
    <row r="28" spans="1:2" x14ac:dyDescent="0.25">
      <c r="A28" t="s">
        <v>215</v>
      </c>
      <c r="B28">
        <v>20</v>
      </c>
    </row>
    <row r="29" spans="1:2" x14ac:dyDescent="0.25">
      <c r="A29" t="s">
        <v>216</v>
      </c>
      <c r="B29">
        <v>20</v>
      </c>
    </row>
    <row r="30" spans="1:2" x14ac:dyDescent="0.25">
      <c r="A30" t="s">
        <v>217</v>
      </c>
      <c r="B30">
        <v>20</v>
      </c>
    </row>
    <row r="31" spans="1:2" x14ac:dyDescent="0.25">
      <c r="A31" t="s">
        <v>218</v>
      </c>
      <c r="B31">
        <v>20</v>
      </c>
    </row>
    <row r="32" spans="1:2" x14ac:dyDescent="0.25">
      <c r="A32" t="s">
        <v>219</v>
      </c>
      <c r="B32">
        <v>20</v>
      </c>
    </row>
    <row r="33" spans="1:2" x14ac:dyDescent="0.25">
      <c r="A33" t="s">
        <v>220</v>
      </c>
      <c r="B33">
        <v>20</v>
      </c>
    </row>
    <row r="34" spans="1:2" x14ac:dyDescent="0.25">
      <c r="A34" t="s">
        <v>221</v>
      </c>
      <c r="B34">
        <v>20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FE4E-1274-45D0-A7BE-86C01571BD5B}">
  <sheetPr codeName="Sheet16"/>
  <dimension ref="A2:J34"/>
  <sheetViews>
    <sheetView workbookViewId="0">
      <selection activeCell="A30" sqref="A30"/>
    </sheetView>
  </sheetViews>
  <sheetFormatPr defaultRowHeight="15" x14ac:dyDescent="0.25"/>
  <sheetData>
    <row r="2" spans="1:10" x14ac:dyDescent="0.25">
      <c r="A2" t="s">
        <v>47</v>
      </c>
      <c r="B2" t="s">
        <v>46</v>
      </c>
      <c r="C2" t="s">
        <v>66</v>
      </c>
      <c r="D2" t="s">
        <v>1</v>
      </c>
    </row>
    <row r="3" spans="1:10" x14ac:dyDescent="0.25">
      <c r="A3" t="s">
        <v>207</v>
      </c>
      <c r="B3">
        <v>25</v>
      </c>
      <c r="C3">
        <v>3500</v>
      </c>
      <c r="D3" t="s">
        <v>23</v>
      </c>
      <c r="I3">
        <v>3500</v>
      </c>
    </row>
    <row r="5" spans="1:10" x14ac:dyDescent="0.25">
      <c r="A5" t="s">
        <v>130</v>
      </c>
      <c r="B5" t="s">
        <v>5</v>
      </c>
      <c r="C5" t="s">
        <v>6</v>
      </c>
      <c r="D5" t="s">
        <v>50</v>
      </c>
      <c r="E5" t="s">
        <v>7</v>
      </c>
      <c r="F5" t="s">
        <v>120</v>
      </c>
      <c r="G5" t="s">
        <v>4</v>
      </c>
    </row>
    <row r="6" spans="1:10" x14ac:dyDescent="0.25">
      <c r="A6" t="s">
        <v>205</v>
      </c>
      <c r="B6">
        <v>12.3</v>
      </c>
      <c r="C6">
        <v>20</v>
      </c>
      <c r="D6">
        <v>6</v>
      </c>
      <c r="E6">
        <v>30</v>
      </c>
      <c r="F6">
        <v>16</v>
      </c>
      <c r="G6">
        <v>30</v>
      </c>
    </row>
    <row r="8" spans="1:10" x14ac:dyDescent="0.25">
      <c r="A8" t="s">
        <v>59</v>
      </c>
      <c r="B8" t="s">
        <v>63</v>
      </c>
      <c r="C8" t="s">
        <v>62</v>
      </c>
      <c r="D8" t="s">
        <v>54</v>
      </c>
      <c r="E8" t="s">
        <v>64</v>
      </c>
      <c r="F8" t="s">
        <v>65</v>
      </c>
      <c r="I8" t="s">
        <v>122</v>
      </c>
      <c r="J8" t="s">
        <v>60</v>
      </c>
    </row>
    <row r="9" spans="1:10" x14ac:dyDescent="0.25">
      <c r="A9" t="s">
        <v>2</v>
      </c>
      <c r="C9">
        <v>0</v>
      </c>
      <c r="D9">
        <v>0</v>
      </c>
      <c r="E9">
        <v>375</v>
      </c>
      <c r="F9">
        <v>375</v>
      </c>
      <c r="I9" t="s">
        <v>208</v>
      </c>
      <c r="J9">
        <v>200</v>
      </c>
    </row>
    <row r="10" spans="1:10" x14ac:dyDescent="0.25">
      <c r="A10" t="s">
        <v>15</v>
      </c>
      <c r="C10">
        <v>0</v>
      </c>
      <c r="D10">
        <v>0</v>
      </c>
      <c r="E10">
        <v>0</v>
      </c>
      <c r="F10">
        <v>0</v>
      </c>
    </row>
    <row r="11" spans="1:10" x14ac:dyDescent="0.25">
      <c r="A11" t="s">
        <v>16</v>
      </c>
      <c r="C11">
        <v>0</v>
      </c>
      <c r="D11">
        <v>0</v>
      </c>
      <c r="E11">
        <v>56</v>
      </c>
      <c r="F11">
        <v>56</v>
      </c>
    </row>
    <row r="12" spans="1:10" x14ac:dyDescent="0.25">
      <c r="A12" t="s">
        <v>21</v>
      </c>
      <c r="C12">
        <v>100</v>
      </c>
      <c r="D12">
        <v>5.6</v>
      </c>
      <c r="E12">
        <v>0</v>
      </c>
      <c r="F12">
        <v>5.6</v>
      </c>
    </row>
    <row r="13" spans="1:10" x14ac:dyDescent="0.25">
      <c r="A13" t="s">
        <v>22</v>
      </c>
      <c r="C13">
        <v>50</v>
      </c>
      <c r="D13">
        <v>6.3</v>
      </c>
      <c r="E13">
        <v>2.4</v>
      </c>
      <c r="F13">
        <v>8.6999999999999993</v>
      </c>
    </row>
    <row r="14" spans="1:10" x14ac:dyDescent="0.25">
      <c r="A14" t="s">
        <v>9</v>
      </c>
      <c r="C14">
        <v>400</v>
      </c>
      <c r="D14">
        <v>16</v>
      </c>
      <c r="E14">
        <v>0</v>
      </c>
      <c r="F14">
        <v>16</v>
      </c>
    </row>
    <row r="15" spans="1:10" x14ac:dyDescent="0.25">
      <c r="A15" t="s">
        <v>10</v>
      </c>
      <c r="C15">
        <v>200</v>
      </c>
      <c r="D15">
        <v>40</v>
      </c>
      <c r="E15">
        <v>16</v>
      </c>
      <c r="F15">
        <v>56</v>
      </c>
    </row>
    <row r="16" spans="1:10" x14ac:dyDescent="0.25">
      <c r="A16" t="s">
        <v>13</v>
      </c>
      <c r="C16">
        <v>100</v>
      </c>
      <c r="D16">
        <v>8.3000000000000007</v>
      </c>
      <c r="E16">
        <v>24.2</v>
      </c>
      <c r="F16">
        <v>32.5</v>
      </c>
    </row>
    <row r="17" spans="1:6" x14ac:dyDescent="0.25">
      <c r="A17" t="s">
        <v>14</v>
      </c>
      <c r="C17">
        <v>100</v>
      </c>
      <c r="D17">
        <v>25</v>
      </c>
      <c r="E17">
        <v>24.2</v>
      </c>
      <c r="F17">
        <v>49.2</v>
      </c>
    </row>
    <row r="18" spans="1:6" x14ac:dyDescent="0.25">
      <c r="A18" t="s">
        <v>11</v>
      </c>
      <c r="C18">
        <v>100</v>
      </c>
      <c r="D18">
        <v>9.1</v>
      </c>
      <c r="E18">
        <v>12.1</v>
      </c>
      <c r="F18">
        <v>21.2</v>
      </c>
    </row>
    <row r="19" spans="1:6" x14ac:dyDescent="0.25">
      <c r="A19" t="s">
        <v>12</v>
      </c>
      <c r="C19">
        <v>200</v>
      </c>
      <c r="D19">
        <v>50</v>
      </c>
      <c r="E19">
        <v>12.1</v>
      </c>
      <c r="F19">
        <v>62.1</v>
      </c>
    </row>
    <row r="20" spans="1:6" x14ac:dyDescent="0.25">
      <c r="A20" t="s">
        <v>19</v>
      </c>
      <c r="C20">
        <v>50</v>
      </c>
      <c r="D20">
        <v>5</v>
      </c>
      <c r="E20">
        <v>120.8</v>
      </c>
      <c r="F20">
        <v>125.8</v>
      </c>
    </row>
    <row r="21" spans="1:6" x14ac:dyDescent="0.25">
      <c r="A21" t="s">
        <v>20</v>
      </c>
      <c r="C21">
        <v>0</v>
      </c>
      <c r="D21">
        <v>0</v>
      </c>
      <c r="E21">
        <v>72.5</v>
      </c>
      <c r="F21">
        <v>72.5</v>
      </c>
    </row>
    <row r="22" spans="1:6" x14ac:dyDescent="0.25">
      <c r="A22" t="s">
        <v>17</v>
      </c>
      <c r="C22">
        <v>50</v>
      </c>
      <c r="D22">
        <v>3.3</v>
      </c>
      <c r="E22">
        <v>28</v>
      </c>
      <c r="F22">
        <v>31.3</v>
      </c>
    </row>
    <row r="23" spans="1:6" x14ac:dyDescent="0.25">
      <c r="A23" t="s">
        <v>18</v>
      </c>
      <c r="C23">
        <v>100</v>
      </c>
      <c r="D23">
        <v>2</v>
      </c>
      <c r="E23">
        <v>1.2</v>
      </c>
      <c r="F23">
        <v>3.2</v>
      </c>
    </row>
    <row r="24" spans="1:6" x14ac:dyDescent="0.25">
      <c r="A24" t="s">
        <v>211</v>
      </c>
      <c r="B24" t="s">
        <v>67</v>
      </c>
      <c r="C24">
        <v>0</v>
      </c>
      <c r="D24">
        <v>0</v>
      </c>
      <c r="F24">
        <v>0</v>
      </c>
    </row>
    <row r="25" spans="1:6" x14ac:dyDescent="0.25">
      <c r="A25" t="s">
        <v>212</v>
      </c>
      <c r="B25" t="s">
        <v>67</v>
      </c>
      <c r="C25">
        <v>0</v>
      </c>
      <c r="D25">
        <v>0</v>
      </c>
      <c r="F25">
        <v>0</v>
      </c>
    </row>
    <row r="26" spans="1:6" x14ac:dyDescent="0.25">
      <c r="A26" t="s">
        <v>211</v>
      </c>
      <c r="B26" t="s">
        <v>68</v>
      </c>
      <c r="C26">
        <v>100</v>
      </c>
      <c r="D26">
        <v>4.5</v>
      </c>
      <c r="F26">
        <v>4.5</v>
      </c>
    </row>
    <row r="27" spans="1:6" x14ac:dyDescent="0.25">
      <c r="A27" t="s">
        <v>212</v>
      </c>
      <c r="B27" t="s">
        <v>68</v>
      </c>
      <c r="C27">
        <v>100</v>
      </c>
      <c r="D27">
        <v>11.1</v>
      </c>
      <c r="E27">
        <v>20</v>
      </c>
      <c r="F27">
        <v>31.1</v>
      </c>
    </row>
    <row r="28" spans="1:6" x14ac:dyDescent="0.25">
      <c r="A28" t="s">
        <v>213</v>
      </c>
      <c r="B28" t="s">
        <v>68</v>
      </c>
      <c r="C28">
        <v>100</v>
      </c>
      <c r="D28">
        <v>20</v>
      </c>
      <c r="F28">
        <v>20</v>
      </c>
    </row>
    <row r="29" spans="1:6" x14ac:dyDescent="0.25">
      <c r="A29" t="s">
        <v>214</v>
      </c>
      <c r="B29" t="s">
        <v>68</v>
      </c>
      <c r="C29">
        <v>100</v>
      </c>
      <c r="D29">
        <v>0.5</v>
      </c>
      <c r="E29">
        <v>1</v>
      </c>
      <c r="F29">
        <v>1.5</v>
      </c>
    </row>
    <row r="30" spans="1:6" x14ac:dyDescent="0.25">
      <c r="A30" t="s">
        <v>5</v>
      </c>
      <c r="B30" t="s">
        <v>205</v>
      </c>
      <c r="C30">
        <v>50</v>
      </c>
      <c r="D30">
        <v>2.2999999999999998</v>
      </c>
      <c r="F30">
        <v>2.2999999999999998</v>
      </c>
    </row>
    <row r="31" spans="1:6" x14ac:dyDescent="0.25">
      <c r="A31" t="s">
        <v>6</v>
      </c>
      <c r="B31" t="s">
        <v>205</v>
      </c>
      <c r="C31">
        <v>300</v>
      </c>
      <c r="D31">
        <v>33.299999999999997</v>
      </c>
      <c r="F31">
        <v>33.299999999999997</v>
      </c>
    </row>
    <row r="32" spans="1:6" x14ac:dyDescent="0.25">
      <c r="A32" t="s">
        <v>7</v>
      </c>
      <c r="B32" t="s">
        <v>205</v>
      </c>
      <c r="C32">
        <v>500</v>
      </c>
      <c r="D32">
        <v>100</v>
      </c>
      <c r="F32">
        <v>100</v>
      </c>
    </row>
    <row r="33" spans="1:6" x14ac:dyDescent="0.25">
      <c r="A33" t="s">
        <v>120</v>
      </c>
      <c r="B33" t="s">
        <v>205</v>
      </c>
      <c r="C33">
        <v>500</v>
      </c>
      <c r="D33">
        <v>2.5</v>
      </c>
      <c r="E33">
        <v>1</v>
      </c>
      <c r="F33">
        <v>3.5</v>
      </c>
    </row>
    <row r="34" spans="1:6" x14ac:dyDescent="0.25">
      <c r="A34" t="s">
        <v>209</v>
      </c>
      <c r="C34">
        <v>100</v>
      </c>
      <c r="D34">
        <v>6.7</v>
      </c>
      <c r="F34">
        <v>6.7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Fang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2024-12-10T08:04:42Z</dcterms:modified>
</cp:coreProperties>
</file>
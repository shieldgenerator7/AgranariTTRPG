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98CFA013-210C-49F2-B565-0C8E1DBEAAAF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9" l="1"/>
  <c r="F29" i="19" s="1"/>
  <c r="D30" i="19"/>
  <c r="F30" i="19" s="1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J9" i="5" s="1"/>
  <c r="H8" i="5" a="1"/>
  <c r="H8" i="5" l="1"/>
  <c r="I8" i="5" s="1"/>
  <c r="I9" i="5" s="1"/>
  <c r="J10" i="5" l="1"/>
  <c r="J11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<sst xmlns="http://schemas.openxmlformats.org/spreadsheetml/2006/main" count="641" uniqueCount="198">
  <si>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</si>
  <si>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</si>
  <si>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</si>
  <si>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</si>
  <si>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</si>
  <si>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</si>
  <si>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</si>
  <si>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</si>
  <si>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</si>
  <si>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</si>
  <si>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</si>
  <si>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</si>
  <si>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</si>
  <si>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</si>
  <si>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</si>
  <si>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</si>
  <si>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</si>
  <si>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</si>
  <si>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</si>
  <si>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</si>
  <si>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</si>
  <si>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</si>
  <si>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</si>
  <si>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</si>
  <si>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</si>
  <si>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</si>
  <si>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</si>
  <si>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</si>
  <si>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</si>
  <si>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</si>
  <si>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</si>
  <si>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</si>
  <si>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</si>
  <si>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</si>
  <si>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</si>
  <si>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</si>
  <si>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</si>
  <si>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</si>
  <si>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</si>
  <si>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</si>
  <si>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</si>
  <si>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</si>
  <si>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</si>
  <si>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</si>
  <si>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</si>
  <si>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</si>
  <si>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</si>
  <si>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</si>
  <si>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</si>
  <si>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</si>
  <si>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</si>
  <si>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</si>
  <si>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</si>
  <si>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</si>
  <si>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</si>
  <si>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</si>
  <si>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</si>
  <si>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</si>
  <si>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</si>
  <si>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</si>
  <si>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</si>
  <si>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</si>
  <si>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</si>
  <si>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</si>
  <si>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</si>
  <si>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</si>
  <si>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</si>
  <si>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</si>
  <si>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</si>
  <si>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</si>
  <si>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</si>
  <si>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</si>
  <si>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</si>
  <si>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</si>
  <si>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</si>
  <si>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</si>
  <si>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</si>
  <si>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</si>
  <si>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</si>
  <si>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</si>
  <si>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</si>
  <si>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</si>
  <si>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</si>
  <si>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</si>
  <si>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</si>
  <si>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</si>
  <si>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</si>
  <si>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</si>
  <si>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</si>
  <si>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</si>
  <si>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</si>
  <si>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</si>
  <si>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</si>
  <si>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</si>
  <si>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</si>
  <si>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</si>
  <si>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</si>
  <si>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</si>
  <si>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</si>
  <si>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</si>
  <si>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</si>
  <si>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</si>
  <si>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</si>
  <si>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</si>
  <si>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</si>
  <si>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</si>
  <si>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</si>
  <si>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</si>
  <si>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</si>
  <si>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</si>
  <si>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</si>
  <si>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</si>
  <si>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</si>
  <si>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</si>
  <si>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</si>
  <si>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</si>
  <si>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</si>
  <si>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</si>
  <si>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</si>
  <si>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</si>
  <si>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</si>
  <si>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</si>
  <si>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</si>
  <si>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</si>
  <si>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</si>
  <si>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</si>
  <si>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</si>
  <si>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</si>
  <si>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</si>
  <si>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</si>
  <si>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</si>
  <si>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</si>
  <si>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</si>
  <si>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</si>
  <si>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</si>
  <si>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</si>
  <si>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</si>
  <si>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</si>
  <si>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</si>
  <si>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</si>
  <si>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</si>
  <si>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</si>
  <si>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</si>
  <si>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</si>
  <si>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</si>
  <si>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</si>
  <si>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</si>
  <si>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</si>
  <si>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</si>
  <si>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</si>
  <si>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</si>
  <si>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</si>
  <si>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</si>
  <si>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</si>
  <si>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</si>
  <si>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</si>
  <si>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</si>
  <si>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</si>
  <si>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</si>
  <si>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</si>
  <si>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</si>
  <si>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</si>
  <si>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</si>
  <si>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</si>
  <si>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</si>
  <si>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</si>
  <si>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</si>
  <si>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</si>
  <si>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</si>
  <si>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</si>
  <si>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</si>
  <si>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</si>
  <si>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</si>
  <si>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</si>
  <si>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</si>
  <si>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</si>
  <si>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</si>
  <si>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</si>
  <si>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</si>
  <si>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</si>
  <si>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</si>
  <si>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</si>
  <si>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</si>
  <si>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</si>
  <si>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</si>
  <si>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</si>
  <si>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</si>
  <si>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</si>
  <si>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</si>
  <si>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</si>
  <si>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</si>
  <si>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</si>
  <si>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</si>
  <si>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</si>
  <si>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</si>
  <si>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</si>
  <si>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</si>
  <si>
    <t>(12.7 + d42.2) x0.6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</si>
</sst>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2597</xdr:colOff>
          <xdr:row>13</xdr:row>
          <xdr:rowOff>163657</xdr:rowOff>
        </xdr:from>
        <xdr:to>
          <xdr:col>6</xdr:col>
          <xdr:colOff>8659</xdr:colOff>
          <xdr:row>15</xdr:row>
          <xdr:rowOff>1732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148937</xdr:colOff>
          <xdr:row>13</xdr:row>
          <xdr:rowOff>172316</xdr:rowOff>
        </xdr:from>
        <xdr:to>
          <xdr:col>9</xdr:col>
          <xdr:colOff>710912</xdr:colOff>
          <xdr:row>15</xdr:row>
          <xdr:rowOff>10391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4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14</xdr:row>
          <xdr:rowOff>0</xdr:rowOff>
        </xdr:from>
        <xdr:to>
          <xdr:col>10</xdr:col>
          <xdr:colOff>38100</xdr:colOff>
          <xdr:row>15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4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M92" sqref="M92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11">
        <v>1</v>
      </c>
      <c r="N4" t="s">
        <v>193</v>
      </c>
      <c r="O4" t="s">
        <v>149</v>
      </c>
    </row>
    <row r="5" spans="1:24" x14ac:dyDescent="0.25">
      <c r="A5" s="15" t="str">
        <f>LOOKUP(MAX(M:M),M:M,N:N)</f>
        <v>1 Mudrich</v>
      </c>
      <c r="B5" s="10" t="s">
        <v>8</v>
      </c>
      <c r="C5" s="5" cm="1">
        <f t="array" aca="1" ref="C5" ca="1">INDIRECT("'"&amp;LOOKUP($A5,$A$18:$A$27,$B$18:$B$27)&amp;"'!B6")-SUMIFS(X:X,T:T,$A5,W:W,"Accuracy")</f>
        <v>7.7272727272727275</v>
      </c>
      <c r="D5" s="6">
        <v>93.343527957947558</v>
      </c>
      <c r="E5" s="5">
        <v>17.495614290237427</v>
      </c>
      <c r="F5" s="19">
        <v>1</v>
      </c>
      <c r="G5" s="5" cm="1">
        <f t="array" aca="1" ref="G5" ca="1">F5*MAX(0,INDIRECT("'"&amp;LOOKUP($A5,$A$18:$A$27,$B$18:$B$27)&amp;"'!F23")-SUMIFS(X:X,T:T,$A5,W:W,"Willpower Factor"))</f>
        <v>1.1599999999999999</v>
      </c>
      <c r="H5" s="5">
        <v>1</v>
      </c>
      <c r="I5" s="12">
        <f ca="1">SUM(C5:E5,G5)*H5</f>
        <v>119.72641497545771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str">
        <f>LOOKUP(MAX(M:M),M:M,O:O)</f>
        <v>2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25.391395914554597</v>
      </c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25.791395914554595</v>
      </c>
      <c r="J7" s="3"/>
      <c r="K7" s="2"/>
    </row>
    <row r="8" spans="1:24" x14ac:dyDescent="0.25">
      <c r="A8" s="2" t="str">
        <f>A5</f>
        <v>1 Mudrich</v>
      </c>
      <c r="B8" s="10" t="s">
        <v>50</v>
      </c>
      <c r="C8" s="5" cm="1">
        <f t="array" aca="1" ref="C8" ca="1">INDIRECT("'"&amp;LOOKUP($A8,$A$18:$A$27,$B$18:$B$27)&amp;"'!D6")-SUMIFS(X:X,T:T,$A8,W:W,B8)</f>
        <v>50</v>
      </c>
      <c r="D8" s="6"/>
      <c r="E8" s="5">
        <v>1.498126745223999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1.1000000000000001</v>
      </c>
      <c r="I8" s="12">
        <f ca="1">IF(I5&gt;I7,SUM(C8:E8,G8)*H8,0)</f>
        <v>56.6479394197464</v>
      </c>
      <c r="J8" s="3"/>
      <c r="K8" s="2"/>
    </row>
    <row r="9" spans="1:24" x14ac:dyDescent="0.25">
      <c r="A9" s="2" t="str">
        <f>A7</f>
        <v>2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43.575338015189544</v>
      </c>
      <c r="J9" s="3" t="str">
        <f ca="1">IF(NOT(ISBLANK(E5)),IF(I5&gt;I7*2, "CRIT!",IF(I5&gt;I7,"HIT","miss")),"")</f>
        <v>CRIT!</v>
      </c>
      <c r="K9" s="2"/>
    </row>
    <row r="10" spans="1:24" x14ac:dyDescent="0.25">
      <c r="A10" s="2" t="str">
        <f>A7</f>
        <v>2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9.4497090578079224</v>
      </c>
      <c r="F10" s="19">
        <v>8</v>
      </c>
      <c r="G10" s="5" cm="1">
        <f t="array" aca="1" ref="G10" ca="1">F10*MAX(0,INDIRECT("'"&amp;LOOKUP($A10,$A$18:$A$27,$B$18:$B$27)&amp;"'!F23")-SUMIFS(X:X,T:T,$A10,W:W,"Willpower Factor"))</f>
        <v>18</v>
      </c>
      <c r="H10" s="5">
        <v>1</v>
      </c>
      <c r="I10" s="12">
        <f ca="1">SUM(C10:E10,G10)*H10</f>
        <v>41.096375724474584</v>
      </c>
      <c r="J10" s="3" t="str">
        <f ca="1">IF(NOT(ISBLANK(E5)),IF(IF(I5&gt;I7*2,I9*2,I9)&gt;I10,"WOUNDED",""),"")</f>
        <v>WOUNDED</v>
      </c>
      <c r="K10" s="2"/>
    </row>
    <row r="11" spans="1:24" x14ac:dyDescent="0.25">
      <c r="A11" s="2" t="str">
        <f>A7</f>
        <v>2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5.4087992799282079</v>
      </c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11.743344734473663</v>
      </c>
      <c r="J11" s="3" t="str">
        <f ca="1">IF(NOT(ISBLANK(E5)),IF(IF(I5&gt;I7*2,I9*2,I9)&gt;I11,"WINCED",""),"")</f>
        <v>WINCED</v>
      </c>
      <c r="K11" s="2"/>
    </row>
    <row r="12" spans="1:24" x14ac:dyDescent="0.25">
      <c r="A12" s="2" t="str">
        <f>A7</f>
        <v>2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0.74541360139846802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67.895413601398474</v>
      </c>
      <c r="J12" s="3" t="str">
        <f ca="1">IF(I9&gt;0,IF(SUMIF(A18:A27,A12,F18:F27)-SUMIF(A18:A27,A12,E18:E27)&gt;I12,"UNCONSCIOUS",""),"")</f>
        <v/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5" spans="1:24" x14ac:dyDescent="0.25">
      <c r="A15" t="s">
        <v>45</v>
      </c>
      <c r="B15" t="s">
        <v>5</v>
      </c>
      <c r="C15" s="2" t="s">
        <v>6</v>
      </c>
      <c r="D15" s="2" t="s">
        <v>197</v>
      </c>
      <c r="E15" s="5">
        <v>31.581746490916817</v>
      </c>
      <c r="G15" s="21" t="s">
        <v>124</v>
      </c>
      <c r="H15" s="21"/>
      <c r="I15" s="21"/>
      <c r="K15" s="8"/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</row>
    <row r="18" spans="1:12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</row>
    <row r="20" spans="1:12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</row>
    <row r="21" spans="1:12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</row>
    <row r="22" spans="1:12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</row>
    <row r="23" spans="1:12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</row>
    <row r="24" spans="1:12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</row>
    <row r="25" spans="1:12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</row>
    <row r="26" spans="1:12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</row>
    <row r="27" spans="1:12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</row>
    <row r="28" spans="1:12" hidden="1" x14ac:dyDescent="0.25">
      <c r="J28" s="8">
        <f t="shared" ref="J20:K28" si="2">(MAX(0,100-(MAX(M:M)-0-7)*1.9))</f>
        <v>111.4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N53" s="11"/>
      <c r="O53" s="11"/>
      <c r="P53" s="11"/>
      <c r="Q53" s="11"/>
      <c r="R53" s="11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>
      <c r="M60" s="23"/>
      <c r="N60" s="24"/>
      <c r="O60" s="24"/>
      <c r="P60" s="25"/>
      <c r="Q60" s="26"/>
      <c r="R60" s="27"/>
    </row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109" spans="17:18" x14ac:dyDescent="0.25">
      <c r="Q109"/>
      <c r="R109"/>
    </row>
  </sheetData>
  <mergeCells count="1">
    <mergeCell ref="G15:I15"/>
  </mergeCells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8" name="Button 80">
              <controlPr defaultSize="0" print="0" autoFill="0" autoPict="0" macro="[0]!PlaceBonus">
                <anchor moveWithCells="1" sizeWithCells="1">
                  <from>
                    <xdr:col>9</xdr:col>
                    <xdr:colOff>152400</xdr:colOff>
                    <xdr:row>13</xdr:row>
                    <xdr:rowOff>171450</xdr:rowOff>
                  </from>
                  <to>
                    <xdr:col>9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19" name="Button 83">
              <controlPr defaultSize="0" print="0" autoFill="0" autoPict="0" macro="[0]!StoreBonus">
                <anchor moveWithCells="1" sizeWithCells="1">
                  <from>
                    <xdr:col>9</xdr:col>
                    <xdr:colOff>742950</xdr:colOff>
                    <xdr:row>14</xdr:row>
                    <xdr:rowOff>0</xdr:rowOff>
                  </from>
                  <to>
                    <xdr:col>10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 B15:C15 G15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727.57219904104375</v>
      </c>
      <c r="B1">
        <f ca="1">SUMIFS(G:G,E:E,"&gt;="&amp;A1,F:F,"&lt;"&amp;A1)</f>
        <v>3</v>
      </c>
      <c r="E1"/>
    </row>
    <row r="3" spans="1:7" x14ac:dyDescent="0.25">
      <c r="A3" t="str">
        <f ca="1">LOOKUP($B$1,$G:$G,A:A)</f>
        <v>Chest</v>
      </c>
      <c r="B3" t="str">
        <f ca="1">LOOKUP($B$1,$G:$G,B:B)</f>
        <v>Front</v>
      </c>
      <c r="C3" t="str">
        <f ca="1">LOOKUP($B$1,$G:$G,C:C)</f>
        <v>Constitution Variance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K17" sqref="K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0.6</v>
      </c>
      <c r="E28" s="8">
        <v>0.1</v>
      </c>
      <c r="F28" s="11">
        <f t="shared" si="0"/>
        <v>0.7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workbookViewId="0">
      <selection activeCell="B17" sqref="B1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250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2024-12-08T03:27:12Z</dcterms:modified>
</cp:coreProperties>
</file>